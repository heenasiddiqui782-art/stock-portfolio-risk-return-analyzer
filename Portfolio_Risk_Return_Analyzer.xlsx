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_Profile" sheetId="1" state="visible" r:id="rId3"/>
    <sheet name="Raw_Prices" sheetId="2" state="visible" r:id="rId4"/>
    <sheet name="Portfolio_Holdings" sheetId="3" state="visible" r:id="rId5"/>
    <sheet name="Returns" sheetId="4" state="visible" r:id="rId6"/>
    <sheet name="Risk_Analysis" sheetId="5" state="visible" r:id="rId7"/>
    <sheet name="Correlation" sheetId="6" state="visible" r:id="rId8"/>
    <sheet name="Benchmark" sheetId="7" state="visible" r:id="rId9"/>
    <sheet name="Scenario_Analysis" sheetId="8" state="visible" r:id="rId10"/>
    <sheet name="Rebalancing" sheetId="9" state="visible" r:id="rId11"/>
    <sheet name="KPI_Summary" sheetId="10" state="visible" r:id="rId12"/>
    <sheet name="Dashboar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<sst xmlns="http://schemas.openxmlformats.org/spreadsheetml/2006/main" count="254" uniqueCount="179">
  <si>
    <t xml:space="preserve">Stock Market Portfolio Risk &amp; Return Analyzer</t>
  </si>
  <si>
    <t xml:space="preserve">Simulated educational data — not live market prices. For learning/portfolio-showcase purposes only.</t>
  </si>
  <si>
    <t xml:space="preserve">Investor Profile</t>
  </si>
  <si>
    <t xml:space="preserve">Mr. Arjun Mehta, 34, salaried IT professional</t>
  </si>
  <si>
    <t xml:space="preserve">Investment Objective</t>
  </si>
  <si>
    <t xml:space="preserve">Long-term wealth creation with moderate risk</t>
  </si>
  <si>
    <t xml:space="preserve">Total Investment Corpus</t>
  </si>
  <si>
    <t xml:space="preserve">Risk Appetite</t>
  </si>
  <si>
    <t xml:space="preserve">Moderate</t>
  </si>
  <si>
    <t xml:space="preserve">Investment Horizon</t>
  </si>
  <si>
    <t xml:space="preserve">5 years</t>
  </si>
  <si>
    <t xml:space="preserve">Expected Annual Return</t>
  </si>
  <si>
    <t xml:space="preserve">Maximum Acceptable Annualized Volatility</t>
  </si>
  <si>
    <t xml:space="preserve">Risk-Free Rate (Annual)</t>
  </si>
  <si>
    <t xml:space="preserve">Benchmark</t>
  </si>
  <si>
    <t xml:space="preserve">NIFTY 50 Index</t>
  </si>
  <si>
    <t xml:space="preserve">Data Frequency</t>
  </si>
  <si>
    <t xml:space="preserve">Monthly (24 observations, Jan 2024 - Jan 2026)</t>
  </si>
  <si>
    <t xml:space="preserve">Raw Monthly Closing Prices (₹) — SIMULATED EDUCATIONAL DATA</t>
  </si>
  <si>
    <t xml:space="preserve">Date</t>
  </si>
  <si>
    <t xml:space="preserve">A01
Reliance Industries</t>
  </si>
  <si>
    <t xml:space="preserve">A02
TCS</t>
  </si>
  <si>
    <t xml:space="preserve">A03
Persistent Systems</t>
  </si>
  <si>
    <t xml:space="preserve">A04
HDFC Bank</t>
  </si>
  <si>
    <t xml:space="preserve">A05
Infosys</t>
  </si>
  <si>
    <t xml:space="preserve">A06
ITC Ltd</t>
  </si>
  <si>
    <t xml:space="preserve">A07
Sun Pharma</t>
  </si>
  <si>
    <t xml:space="preserve">A08
Nifty50 Index ETF</t>
  </si>
  <si>
    <t xml:space="preserve">A09
Gold ETF</t>
  </si>
  <si>
    <t xml:space="preserve">A10
Liquid/Debt Fund</t>
  </si>
  <si>
    <t xml:space="preserve">BENCHMARK_NIFTY50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</si>
  <si>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</si>
  <si>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</si>
  <si>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</si>
  <si>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</si>
  <si>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</si>
  <si>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</si>
  <si>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</si>
  <si>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</si>
  <si>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</si>
  <si>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2024-10-31</t>
  </si>
  <si>
    <t xml:space="preserve">2024-11-30</t>
  </si>
  <si>
    <t xml:space="preserve">2024-12-31</t>
  </si>
  <si>
    <t xml:space="preserve">2025-01-31</t>
  </si>
  <si>
    <t xml:space="preserve">2025-02-28</t>
  </si>
  <si>
    <t xml:space="preserve">2025-03-31</t>
  </si>
  <si>
    <t xml:space="preserve">2025-04-30</t>
  </si>
  <si>
    <t xml:space="preserve">2025-05-31</t>
  </si>
  <si>
    <t xml:space="preserve">2025-06-30</t>
  </si>
  <si>
    <t xml:space="preserve">2025-07-31</t>
  </si>
  <si>
    <t xml:space="preserve">2025-08-31</t>
  </si>
  <si>
    <t xml:space="preserve">2025-09-30</t>
  </si>
  <si>
    <t xml:space="preserve">2025-10-31</t>
  </si>
  <si>
    <t xml:space="preserve">2025-11-30</t>
  </si>
  <si>
    <t xml:space="preserve">2025-12-31</t>
  </si>
  <si>
    <t xml:space="preserve">2026-01-31</t>
  </si>
  <si>
    <t xml:space="preserve">Portfolio Holdings &amp; Allocation</t>
  </si>
  <si>
    <t xml:space="preserve">Total Investment (₹)</t>
  </si>
  <si>
    <t xml:space="preserve">Asset ID</t>
  </si>
  <si>
    <t xml:space="preserve">Asset Name</t>
  </si>
  <si>
    <t xml:space="preserve">Asset Type</t>
  </si>
  <si>
    <t xml:space="preserve">Sector</t>
  </si>
  <si>
    <t xml:space="preserve">Purchase Price (₹)</t>
  </si>
  <si>
    <t xml:space="preserve">Current Price (₹)</t>
  </si>
  <si>
    <t xml:space="preserve">Target Weight %</t>
  </si>
  <si>
    <t xml:space="preserve">Investment Amount (₹)</t>
  </si>
  <si>
    <t xml:space="preserve">Quantity</t>
  </si>
  <si>
    <t xml:space="preserve">Current Value (₹)</t>
  </si>
  <si>
    <t xml:space="preserve">Portfolio Weight %</t>
  </si>
  <si>
    <t xml:space="preserve">A01</t>
  </si>
  <si>
    <t xml:space="preserve">Reliance Industries</t>
  </si>
  <si>
    <t xml:space="preserve">Large-Cap</t>
  </si>
  <si>
    <t xml:space="preserve">Energy/Conglomerate</t>
  </si>
  <si>
    <t xml:space="preserve">A02</t>
  </si>
  <si>
    <t xml:space="preserve">TCS</t>
  </si>
  <si>
    <t xml:space="preserve">Technology</t>
  </si>
  <si>
    <t xml:space="preserve">A03</t>
  </si>
  <si>
    <t xml:space="preserve">Persistent Systems</t>
  </si>
  <si>
    <t xml:space="preserve">Mid-Cap</t>
  </si>
  <si>
    <t xml:space="preserve">A04</t>
  </si>
  <si>
    <t xml:space="preserve">HDFC Bank</t>
  </si>
  <si>
    <t xml:space="preserve">Banking/Financial</t>
  </si>
  <si>
    <t xml:space="preserve">Financials</t>
  </si>
  <si>
    <t xml:space="preserve">A05</t>
  </si>
  <si>
    <t xml:space="preserve">Infosys</t>
  </si>
  <si>
    <t xml:space="preserve">IT Services</t>
  </si>
  <si>
    <t xml:space="preserve">A06</t>
  </si>
  <si>
    <t xml:space="preserve">ITC Ltd</t>
  </si>
  <si>
    <t xml:space="preserve">Consumer</t>
  </si>
  <si>
    <t xml:space="preserve">FMCG</t>
  </si>
  <si>
    <t xml:space="preserve">A07</t>
  </si>
  <si>
    <t xml:space="preserve">Sun Pharma</t>
  </si>
  <si>
    <t xml:space="preserve">Pharma/Healthcare</t>
  </si>
  <si>
    <t xml:space="preserve">Healthcare</t>
  </si>
  <si>
    <t xml:space="preserve">A08</t>
  </si>
  <si>
    <t xml:space="preserve">Nifty50 Index ETF</t>
  </si>
  <si>
    <t xml:space="preserve">Index ETF</t>
  </si>
  <si>
    <t xml:space="preserve">Diversified Equity</t>
  </si>
  <si>
    <t xml:space="preserve">A09</t>
  </si>
  <si>
    <t xml:space="preserve">Gold ETF</t>
  </si>
  <si>
    <t xml:space="preserve">Commodity</t>
  </si>
  <si>
    <t xml:space="preserve">A10</t>
  </si>
  <si>
    <t xml:space="preserve">Liquid/Debt Fund</t>
  </si>
  <si>
    <t xml:space="preserve">Debt Fund</t>
  </si>
  <si>
    <t xml:space="preserve">Fixed Income</t>
  </si>
  <si>
    <t xml:space="preserve">TOTAL</t>
  </si>
  <si>
    <t xml:space="preserve">Monthly Returns (%) by Asset</t>
  </si>
  <si>
    <t xml:space="preserve">Portfolio Return %</t>
  </si>
  <si>
    <t xml:space="preserve">Benchmark Return %</t>
  </si>
  <si>
    <t xml:space="preserve">Annualized Return % (avg monthly x 12, simple)</t>
  </si>
  <si>
    <t xml:space="preserve">Portfolio Max Drawdown Calculation (Wealth Index, base=100)</t>
  </si>
  <si>
    <t xml:space="preserve">Wealth Index</t>
  </si>
  <si>
    <t xml:space="preserve">Running Peak</t>
  </si>
  <si>
    <t xml:space="preserve">Drawdown %</t>
  </si>
  <si>
    <t xml:space="preserve">Risk &amp; Risk-Adjusted Performance Analysis</t>
  </si>
  <si>
    <t xml:space="preserve">Risk-free rate and formulas below; volatility annualized using sqrt(12) on monthly std dev.</t>
  </si>
  <si>
    <t xml:space="preserve">Annual Risk-Free Rate</t>
  </si>
  <si>
    <t xml:space="preserve">Monthly Volatility %</t>
  </si>
  <si>
    <t xml:space="preserve">Annualized Volatility %</t>
  </si>
  <si>
    <t xml:space="preserve">Beta (vs Benchmark)</t>
  </si>
  <si>
    <t xml:space="preserve">Annualized Return %</t>
  </si>
  <si>
    <t xml:space="preserve">Sharpe Ratio</t>
  </si>
  <si>
    <t xml:space="preserve">Treynor Ratio</t>
  </si>
  <si>
    <t xml:space="preserve">Worst Single-Month Return %</t>
  </si>
  <si>
    <t xml:space="preserve">1-Month 95% VaR (₹)</t>
  </si>
  <si>
    <t xml:space="preserve">Risk Category</t>
  </si>
  <si>
    <t xml:space="preserve">PORTFOLIO</t>
  </si>
  <si>
    <t xml:space="preserve">Note: for the PORTFOLIO row, the value in 'Worst Single-Month Return %' column is the true peak-to-trough Maximum Drawdown (see Returns sheet wealth-index calc). For individual assets it is the worst single monthly return, a simpler proxy.</t>
  </si>
  <si>
    <t xml:space="preserve">Asset Return Correlation Matrix</t>
  </si>
  <si>
    <t xml:space="preserve">Correlation of monthly returns. Green=low/negative (diversifying), Red=high positive (concentrated).</t>
  </si>
  <si>
    <t xml:space="preserve">Asset</t>
  </si>
  <si>
    <t xml:space="preserve">Portfolio vs Benchmark (NIFTY 50)</t>
  </si>
  <si>
    <t xml:space="preserve">Excess Return %</t>
  </si>
  <si>
    <t xml:space="preserve">Portfolio Cum. Value (Index=100)</t>
  </si>
  <si>
    <t xml:space="preserve">Benchmark Cum. Value (Index=100)</t>
  </si>
  <si>
    <t xml:space="preserve">Portfolio Volatility (Ann.)</t>
  </si>
  <si>
    <t xml:space="preserve">Benchmark Volatility (Ann.)</t>
  </si>
  <si>
    <t xml:space="preserve">Portfolio Max Drawdown</t>
  </si>
  <si>
    <t xml:space="preserve">Scenario / What-If Analysis</t>
  </si>
  <si>
    <t xml:space="preserve">Estimated portfolio impact under hypothetical market moves. These are simulations, not predictions.</t>
  </si>
  <si>
    <t xml:space="preserve">Scenario</t>
  </si>
  <si>
    <t xml:space="preserve">Shock Applied</t>
  </si>
  <si>
    <t xml:space="preserve">Assets Affected</t>
  </si>
  <si>
    <t xml:space="preserve">Estimated Portfolio Impact %</t>
  </si>
  <si>
    <t xml:space="preserve">Estimated ₹ Impact</t>
  </si>
  <si>
    <t xml:space="preserve">Scenario 1: Broad Market Rally</t>
  </si>
  <si>
    <t xml:space="preserve">+10%</t>
  </si>
  <si>
    <t xml:space="preserve">All equity &amp; ETF holdings</t>
  </si>
  <si>
    <t xml:space="preserve">Scenario 2: Broad Market Correction</t>
  </si>
  <si>
    <t xml:space="preserve">-10%</t>
  </si>
  <si>
    <t xml:space="preserve">Scenario 3: Technology Sector Decline</t>
  </si>
  <si>
    <t xml:space="preserve">-20%</t>
  </si>
  <si>
    <t xml:space="preserve">TCS, Persistent, Infosys</t>
  </si>
  <si>
    <t xml:space="preserve">Scenario 4: Banking Sector Decline</t>
  </si>
  <si>
    <t xml:space="preserve">-15%</t>
  </si>
  <si>
    <t xml:space="preserve">Scenario 5: Flight to Gold (Gold Up, Equities Down)</t>
  </si>
  <si>
    <t xml:space="preserve">Gold +8%, Equities -5%</t>
  </si>
  <si>
    <t xml:space="preserve">Gold ETF +8%, equities -5% (excl. debt)</t>
  </si>
  <si>
    <t xml:space="preserve">Portfolio Rebalancing Recommendation</t>
  </si>
  <si>
    <t xml:space="preserve">Current Weight %</t>
  </si>
  <si>
    <t xml:space="preserve">Difference %</t>
  </si>
  <si>
    <t xml:space="preserve">Action</t>
  </si>
  <si>
    <t xml:space="preserve">₹ Amount to Buy/Sell</t>
  </si>
  <si>
    <t xml:space="preserve">Portfolio KPI Summary</t>
  </si>
  <si>
    <t xml:space="preserve">Current Portfolio Value (₹)</t>
  </si>
  <si>
    <t xml:space="preserve">Total Gain/Loss (₹)</t>
  </si>
  <si>
    <t xml:space="preserve">Total Return %</t>
  </si>
  <si>
    <t xml:space="preserve">Portfolio Volatility (Ann.) %</t>
  </si>
  <si>
    <t xml:space="preserve">Beta vs Benchmark</t>
  </si>
  <si>
    <t xml:space="preserve">Maximum Drawdown %</t>
  </si>
  <si>
    <t xml:space="preserve">Benchmark Annualized Return %</t>
  </si>
  <si>
    <t xml:space="preserve">Excess Return vs Benchmark %</t>
  </si>
  <si>
    <t xml:space="preserve">Equity Allocation % (excl. Gold/Debt)</t>
  </si>
  <si>
    <t xml:space="preserve">Largest Single-Asset Concentration %</t>
  </si>
  <si>
    <t xml:space="preserve">Stock Market Portfolio Risk &amp; Return Dashboard</t>
  </si>
  <si>
    <t xml:space="preserve">Simulated educational data | Investor: Mr. Arjun Mehta | Benchmark: NIFTY 50</t>
  </si>
  <si>
    <t xml:space="preserve">Portfolio Value (₹)</t>
  </si>
  <si>
    <t xml:space="preserve">Volatility (Ann.) %</t>
  </si>
  <si>
    <t xml:space="preserve">Max Drawdown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</si>
</sst>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.00"/>
    <numFmt numFmtId="167" formatCode="#,##0"/>
    <numFmt numFmtId="168" formatCode="yyyy\-mm\-dd"/>
    <numFmt numFmtId="169" formatCode="0.00%"/>
    <numFmt numFmtId="170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6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CCCCC"/>
      <rgbColor rgb="FF878787"/>
      <rgbColor rgb="FF93A9CE"/>
      <rgbColor rgb="FFAB4744"/>
      <rgbColor rgb="FFFFFFCC"/>
      <rgbColor rgb="FFD9E6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BE4B48"/>
      <rgbColor rgb="FF1F4E78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vs Benchmark — Cumulative Value (Index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Benchmark!E3</c:f>
              <c:strCache>
                <c:ptCount val="1"/>
                <c:pt idx="0">
                  <c:v>Portfolio Cum. Value (Index=100)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Benchmark!$A$4:$A$27</c:f>
              <c:strCache>
                <c:ptCount val="24"/>
                <c:pt idx="0">
                  <c:v>2024-02-29</c:v>
                </c:pt>
                <c:pt idx="1">
                  <c:v>2024-03-31</c:v>
                </c:pt>
                <c:pt idx="2">
                  <c:v>2024-04-30</c:v>
                </c:pt>
                <c:pt idx="3">
                  <c:v>2024-05-31</c:v>
                </c:pt>
                <c:pt idx="4">
                  <c:v>2024-06-30</c:v>
                </c:pt>
                <c:pt idx="5">
                  <c:v>2024-07-31</c:v>
                </c:pt>
                <c:pt idx="6">
                  <c:v>2024-08-31</c:v>
                </c:pt>
                <c:pt idx="7">
                  <c:v>2024-09-30</c:v>
                </c:pt>
                <c:pt idx="8">
                  <c:v>2024-10-31</c:v>
                </c:pt>
                <c:pt idx="9">
                  <c:v>2024-11-30</c:v>
                </c:pt>
                <c:pt idx="10">
                  <c:v>2024-12-31</c:v>
                </c:pt>
                <c:pt idx="11">
                  <c:v>2025-01-31</c:v>
                </c:pt>
                <c:pt idx="12">
                  <c:v>2025-02-28</c:v>
                </c:pt>
                <c:pt idx="13">
                  <c:v>2025-03-31</c:v>
                </c:pt>
                <c:pt idx="14">
                  <c:v>2025-04-30</c:v>
                </c:pt>
                <c:pt idx="15">
                  <c:v>2025-05-31</c:v>
                </c:pt>
                <c:pt idx="16">
                  <c:v>2025-06-30</c:v>
                </c:pt>
                <c:pt idx="17">
                  <c:v>2025-07-31</c:v>
                </c:pt>
                <c:pt idx="18">
                  <c:v>2025-08-31</c:v>
                </c:pt>
                <c:pt idx="19">
                  <c:v>2025-09-30</c:v>
                </c:pt>
                <c:pt idx="20">
                  <c:v>2025-10-31</c:v>
                </c:pt>
                <c:pt idx="21">
                  <c:v>2025-11-30</c:v>
                </c:pt>
                <c:pt idx="22">
                  <c:v>2025-12-31</c:v>
                </c:pt>
                <c:pt idx="23">
                  <c:v>2026-01-31</c:v>
                </c:pt>
              </c:strCache>
            </c:strRef>
          </c:cat>
          <c:val>
            <c:numRef>
              <c:f>Benchmark!$E$4:$E$27</c:f>
              <c:numCache>
                <c:formatCode>0.00</c:formatCode>
                <c:ptCount val="24"/>
                <c:pt idx="0">
                  <c:v>101.937990682561</c:v>
                </c:pt>
                <c:pt idx="1">
                  <c:v>101.433055126322</c:v>
                </c:pt>
                <c:pt idx="2">
                  <c:v>100.63461949824</c:v>
                </c:pt>
                <c:pt idx="3">
                  <c:v>101.072915843543</c:v>
                </c:pt>
                <c:pt idx="4">
                  <c:v>100.566263578961</c:v>
                </c:pt>
                <c:pt idx="5">
                  <c:v>102.606787593204</c:v>
                </c:pt>
                <c:pt idx="6">
                  <c:v>105.365103913073</c:v>
                </c:pt>
                <c:pt idx="7">
                  <c:v>107.072282565435</c:v>
                </c:pt>
                <c:pt idx="8">
                  <c:v>106.515525235928</c:v>
                </c:pt>
                <c:pt idx="9">
                  <c:v>108.736142400492</c:v>
                </c:pt>
                <c:pt idx="10">
                  <c:v>112.254558742264</c:v>
                </c:pt>
                <c:pt idx="11">
                  <c:v>115.085344213327</c:v>
                </c:pt>
                <c:pt idx="12">
                  <c:v>116.409677941837</c:v>
                </c:pt>
                <c:pt idx="13">
                  <c:v>114.600492375461</c:v>
                </c:pt>
                <c:pt idx="14">
                  <c:v>110.670362164038</c:v>
                </c:pt>
                <c:pt idx="15">
                  <c:v>111.871142784287</c:v>
                </c:pt>
                <c:pt idx="16">
                  <c:v>112.53603607855</c:v>
                </c:pt>
                <c:pt idx="17">
                  <c:v>119.940411006741</c:v>
                </c:pt>
                <c:pt idx="18">
                  <c:v>122.237680539235</c:v>
                </c:pt>
                <c:pt idx="19">
                  <c:v>123.946227749751</c:v>
                </c:pt>
                <c:pt idx="20">
                  <c:v>126.315817960551</c:v>
                </c:pt>
                <c:pt idx="21">
                  <c:v>125.526282141587</c:v>
                </c:pt>
                <c:pt idx="22">
                  <c:v>127.286667944826</c:v>
                </c:pt>
                <c:pt idx="23">
                  <c:v>132.275877208551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Benchmark!F3</c:f>
              <c:strCache>
                <c:ptCount val="1"/>
                <c:pt idx="0">
                  <c:v>Benchmark Cum. Value (Index=100)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Benchmark!$A$4:$A$27</c:f>
              <c:strCache>
                <c:ptCount val="24"/>
                <c:pt idx="0">
                  <c:v>2024-02-29</c:v>
                </c:pt>
                <c:pt idx="1">
                  <c:v>2024-03-31</c:v>
                </c:pt>
                <c:pt idx="2">
                  <c:v>2024-04-30</c:v>
                </c:pt>
                <c:pt idx="3">
                  <c:v>2024-05-31</c:v>
                </c:pt>
                <c:pt idx="4">
                  <c:v>2024-06-30</c:v>
                </c:pt>
                <c:pt idx="5">
                  <c:v>2024-07-31</c:v>
                </c:pt>
                <c:pt idx="6">
                  <c:v>2024-08-31</c:v>
                </c:pt>
                <c:pt idx="7">
                  <c:v>2024-09-30</c:v>
                </c:pt>
                <c:pt idx="8">
                  <c:v>2024-10-31</c:v>
                </c:pt>
                <c:pt idx="9">
                  <c:v>2024-11-30</c:v>
                </c:pt>
                <c:pt idx="10">
                  <c:v>2024-12-31</c:v>
                </c:pt>
                <c:pt idx="11">
                  <c:v>2025-01-31</c:v>
                </c:pt>
                <c:pt idx="12">
                  <c:v>2025-02-28</c:v>
                </c:pt>
                <c:pt idx="13">
                  <c:v>2025-03-31</c:v>
                </c:pt>
                <c:pt idx="14">
                  <c:v>2025-04-30</c:v>
                </c:pt>
                <c:pt idx="15">
                  <c:v>2025-05-31</c:v>
                </c:pt>
                <c:pt idx="16">
                  <c:v>2025-06-30</c:v>
                </c:pt>
                <c:pt idx="17">
                  <c:v>2025-07-31</c:v>
                </c:pt>
                <c:pt idx="18">
                  <c:v>2025-08-31</c:v>
                </c:pt>
                <c:pt idx="19">
                  <c:v>2025-09-30</c:v>
                </c:pt>
                <c:pt idx="20">
                  <c:v>2025-10-31</c:v>
                </c:pt>
                <c:pt idx="21">
                  <c:v>2025-11-30</c:v>
                </c:pt>
                <c:pt idx="22">
                  <c:v>2025-12-31</c:v>
                </c:pt>
                <c:pt idx="23">
                  <c:v>2026-01-31</c:v>
                </c:pt>
              </c:strCache>
            </c:strRef>
          </c:cat>
          <c:val>
            <c:numRef>
              <c:f>Benchmark!$F$4:$F$27</c:f>
              <c:numCache>
                <c:formatCode>0.00</c:formatCode>
                <c:ptCount val="24"/>
                <c:pt idx="0">
                  <c:v>97.7299090909091</c:v>
                </c:pt>
                <c:pt idx="1">
                  <c:v>98.1609545454545</c:v>
                </c:pt>
                <c:pt idx="2">
                  <c:v>101.027181818182</c:v>
                </c:pt>
                <c:pt idx="3">
                  <c:v>105.435</c:v>
                </c:pt>
                <c:pt idx="4">
                  <c:v>101.321772727273</c:v>
                </c:pt>
                <c:pt idx="5">
                  <c:v>100.878</c:v>
                </c:pt>
                <c:pt idx="6">
                  <c:v>99.8694545454545</c:v>
                </c:pt>
                <c:pt idx="7">
                  <c:v>98.1583636363636</c:v>
                </c:pt>
                <c:pt idx="8">
                  <c:v>105.973545454545</c:v>
                </c:pt>
                <c:pt idx="9">
                  <c:v>108.644</c:v>
                </c:pt>
                <c:pt idx="10">
                  <c:v>104.142318181818</c:v>
                </c:pt>
                <c:pt idx="11">
                  <c:v>108.903136363636</c:v>
                </c:pt>
                <c:pt idx="12">
                  <c:v>119.127636363636</c:v>
                </c:pt>
                <c:pt idx="13">
                  <c:v>125.119590909091</c:v>
                </c:pt>
                <c:pt idx="14">
                  <c:v>118.641545454545</c:v>
                </c:pt>
                <c:pt idx="15">
                  <c:v>117.411318181818</c:v>
                </c:pt>
                <c:pt idx="16">
                  <c:v>124.418</c:v>
                </c:pt>
                <c:pt idx="17">
                  <c:v>122.015909090909</c:v>
                </c:pt>
                <c:pt idx="18">
                  <c:v>125.280181818182</c:v>
                </c:pt>
                <c:pt idx="19">
                  <c:v>130.289545454545</c:v>
                </c:pt>
                <c:pt idx="20">
                  <c:v>126.631363636364</c:v>
                </c:pt>
                <c:pt idx="21">
                  <c:v>127.469545454545</c:v>
                </c:pt>
                <c:pt idx="22">
                  <c:v>112.090272727273</c:v>
                </c:pt>
                <c:pt idx="23">
                  <c:v>108.506136363636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090282"/>
        <c:axId val="14828593"/>
      </c:lineChart>
      <c:catAx>
        <c:axId val="39090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28593"/>
        <c:crosses val="autoZero"/>
        <c:auto val="1"/>
        <c:lblAlgn val="ctr"/>
        <c:lblOffset val="100"/>
        <c:noMultiLvlLbl val="0"/>
      </c:catAx>
      <c:valAx>
        <c:axId val="14828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90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Allocation by Weight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Portfolio_Holdings!K3</c:f>
              <c:strCache>
                <c:ptCount val="1"/>
                <c:pt idx="0">
                  <c:v>Portfolio Weight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Portfolio_Holdings!$B$4:$B$13</c:f>
              <c:strCache>
                <c:ptCount val="10"/>
                <c:pt idx="0">
                  <c:v>Reliance Industries</c:v>
                </c:pt>
                <c:pt idx="1">
                  <c:v>TCS</c:v>
                </c:pt>
                <c:pt idx="2">
                  <c:v>Persistent Systems</c:v>
                </c:pt>
                <c:pt idx="3">
                  <c:v>HDFC Bank</c:v>
                </c:pt>
                <c:pt idx="4">
                  <c:v>Infosys</c:v>
                </c:pt>
                <c:pt idx="5">
                  <c:v>ITC Ltd</c:v>
                </c:pt>
                <c:pt idx="6">
                  <c:v>Sun Pharma</c:v>
                </c:pt>
                <c:pt idx="7">
                  <c:v>Nifty50 Index ETF</c:v>
                </c:pt>
                <c:pt idx="8">
                  <c:v>Gold ETF</c:v>
                </c:pt>
                <c:pt idx="9">
                  <c:v>Liquid/Debt Fund</c:v>
                </c:pt>
              </c:strCache>
            </c:strRef>
          </c:cat>
          <c:val>
            <c:numRef>
              <c:f>Portfolio_Holdings!$K$4:$K$13</c:f>
              <c:numCache>
                <c:formatCode>0.0%</c:formatCode>
                <c:ptCount val="10"/>
                <c:pt idx="0">
                  <c:v>0.100739130030818</c:v>
                </c:pt>
                <c:pt idx="1">
                  <c:v>0.0716508009380539</c:v>
                </c:pt>
                <c:pt idx="2">
                  <c:v>0.111231310643062</c:v>
                </c:pt>
                <c:pt idx="3">
                  <c:v>0.103249963278372</c:v>
                </c:pt>
                <c:pt idx="4">
                  <c:v>0.101620488353239</c:v>
                </c:pt>
                <c:pt idx="5">
                  <c:v>0.0688552450701039</c:v>
                </c:pt>
                <c:pt idx="6">
                  <c:v>0.111649655428282</c:v>
                </c:pt>
                <c:pt idx="7">
                  <c:v>0.121965605573928</c:v>
                </c:pt>
                <c:pt idx="8">
                  <c:v>0.1197149590044</c:v>
                </c:pt>
                <c:pt idx="9">
                  <c:v>0.0893228416797401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Annualized Return % by Asset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Risk_Analysis!F6</c:f>
              <c:strCache>
                <c:ptCount val="1"/>
                <c:pt idx="0">
                  <c:v>Annualized Return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Risk_Analysis!$A$7:$A$16</c:f>
              <c:strCache>
                <c:ptCount val="10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  <c:pt idx="8">
                  <c:v>A09</c:v>
                </c:pt>
                <c:pt idx="9">
                  <c:v>A10</c:v>
                </c:pt>
              </c:strCache>
            </c:strRef>
          </c:cat>
          <c:val>
            <c:numRef>
              <c:f>Risk_Analysis!$F$7:$F$16</c:f>
              <c:numCache>
                <c:formatCode>0.0%</c:formatCode>
                <c:ptCount val="10"/>
                <c:pt idx="0">
                  <c:v>0.0465609752500947</c:v>
                </c:pt>
                <c:pt idx="1">
                  <c:v>-0.0377761030939961</c:v>
                </c:pt>
                <c:pt idx="2">
                  <c:v>0.320572184671846</c:v>
                </c:pt>
                <c:pt idx="3">
                  <c:v>0.0556253717066628</c:v>
                </c:pt>
                <c:pt idx="4">
                  <c:v>0.139524038114513</c:v>
                </c:pt>
                <c:pt idx="5">
                  <c:v>0.0529611628707554</c:v>
                </c:pt>
                <c:pt idx="6">
                  <c:v>0.303359184533234</c:v>
                </c:pt>
                <c:pt idx="7">
                  <c:v>0.134800382010621</c:v>
                </c:pt>
                <c:pt idx="8">
                  <c:v>0.217054072148343</c:v>
                </c:pt>
                <c:pt idx="9">
                  <c:v>0.0613737523883274</c:v>
                </c:pt>
              </c:numCache>
            </c:numRef>
          </c:val>
        </c:ser>
        <c:gapWidth val="150"/>
        <c:overlap val="0"/>
        <c:axId val="51955608"/>
        <c:axId val="38246600"/>
      </c:barChart>
      <c:catAx>
        <c:axId val="5195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46600"/>
        <c:crosses val="autoZero"/>
        <c:auto val="1"/>
        <c:lblAlgn val="ctr"/>
        <c:lblOffset val="100"/>
        <c:noMultiLvlLbl val="0"/>
      </c:catAx>
      <c:valAx>
        <c:axId val="38246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Annualized Return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55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Annualized Volatility % by Asset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Risk_Analysis!D6</c:f>
              <c:strCache>
                <c:ptCount val="1"/>
                <c:pt idx="0">
                  <c:v>Annualized Volatility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Risk_Analysis!$A$7:$A$16</c:f>
              <c:strCache>
                <c:ptCount val="10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  <c:pt idx="8">
                  <c:v>A09</c:v>
                </c:pt>
                <c:pt idx="9">
                  <c:v>A10</c:v>
                </c:pt>
              </c:strCache>
            </c:strRef>
          </c:cat>
          <c:val>
            <c:numRef>
              <c:f>Risk_Analysis!$D$7:$D$16</c:f>
              <c:numCache>
                <c:formatCode>0.0%</c:formatCode>
                <c:ptCount val="10"/>
                <c:pt idx="0">
                  <c:v>0.181619882063074</c:v>
                </c:pt>
                <c:pt idx="1">
                  <c:v>0.150163971455826</c:v>
                </c:pt>
                <c:pt idx="2">
                  <c:v>0.265099708777697</c:v>
                </c:pt>
                <c:pt idx="3">
                  <c:v>0.160962504796444</c:v>
                </c:pt>
                <c:pt idx="4">
                  <c:v>0.164687045515191</c:v>
                </c:pt>
                <c:pt idx="5">
                  <c:v>0.144736085135442</c:v>
                </c:pt>
                <c:pt idx="6">
                  <c:v>0.178983187076397</c:v>
                </c:pt>
                <c:pt idx="7">
                  <c:v>0.132039335563632</c:v>
                </c:pt>
                <c:pt idx="8">
                  <c:v>0.126773905668673</c:v>
                </c:pt>
                <c:pt idx="9">
                  <c:v>0.0148152480993672</c:v>
                </c:pt>
              </c:numCache>
            </c:numRef>
          </c:val>
        </c:ser>
        <c:gapWidth val="150"/>
        <c:overlap val="0"/>
        <c:axId val="51304854"/>
        <c:axId val="93172195"/>
      </c:barChart>
      <c:catAx>
        <c:axId val="51304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72195"/>
        <c:crosses val="autoZero"/>
        <c:auto val="1"/>
        <c:lblAlgn val="ctr"/>
        <c:lblOffset val="100"/>
        <c:noMultiLvlLbl val="0"/>
      </c:catAx>
      <c:valAx>
        <c:axId val="93172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Volatility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04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70920</xdr:rowOff>
    </xdr:from>
    <xdr:to>
      <xdr:col>6</xdr:col>
      <xdr:colOff>558720</xdr:colOff>
      <xdr:row>21</xdr:row>
      <xdr:rowOff>93240</xdr:rowOff>
    </xdr:to>
    <xdr:graphicFrame>
      <xdr:nvGraphicFramePr>
        <xdr:cNvPr id="0" name="Chart 1"/>
        <xdr:cNvGraphicFramePr/>
      </xdr:nvGraphicFramePr>
      <xdr:xfrm>
        <a:off x="0" y="1333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6</xdr:row>
      <xdr:rowOff>70920</xdr:rowOff>
    </xdr:from>
    <xdr:to>
      <xdr:col>17</xdr:col>
      <xdr:colOff>542160</xdr:colOff>
      <xdr:row>21</xdr:row>
      <xdr:rowOff>93240</xdr:rowOff>
    </xdr:to>
    <xdr:graphicFrame>
      <xdr:nvGraphicFramePr>
        <xdr:cNvPr id="1" name="Chart 2"/>
        <xdr:cNvGraphicFramePr/>
      </xdr:nvGraphicFramePr>
      <xdr:xfrm>
        <a:off x="11841480" y="133344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71280</xdr:rowOff>
    </xdr:from>
    <xdr:to>
      <xdr:col>6</xdr:col>
      <xdr:colOff>558720</xdr:colOff>
      <xdr:row>38</xdr:row>
      <xdr:rowOff>93240</xdr:rowOff>
    </xdr:to>
    <xdr:graphicFrame>
      <xdr:nvGraphicFramePr>
        <xdr:cNvPr id="2" name="Chart 3"/>
        <xdr:cNvGraphicFramePr/>
      </xdr:nvGraphicFramePr>
      <xdr:xfrm>
        <a:off x="0" y="4572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23</xdr:row>
      <xdr:rowOff>71280</xdr:rowOff>
    </xdr:from>
    <xdr:to>
      <xdr:col>22</xdr:col>
      <xdr:colOff>364680</xdr:colOff>
      <xdr:row>38</xdr:row>
      <xdr:rowOff>93240</xdr:rowOff>
    </xdr:to>
    <xdr:graphicFrame>
      <xdr:nvGraphicFramePr>
        <xdr:cNvPr id="3" name="Chart 4"/>
        <xdr:cNvGraphicFramePr/>
      </xdr:nvGraphicFramePr>
      <xdr:xfrm>
        <a:off x="11841480" y="4572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n">
        <v>1000000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5" t="n">
        <v>0.13</v>
      </c>
    </row>
    <row r="10" customFormat="false" ht="15" hidden="false" customHeight="false" outlineLevel="0" collapsed="false">
      <c r="A10" s="3" t="s">
        <v>12</v>
      </c>
      <c r="B10" s="5" t="n">
        <v>0.18</v>
      </c>
    </row>
    <row r="11" customFormat="false" ht="15" hidden="false" customHeight="false" outlineLevel="0" collapsed="false">
      <c r="A11" s="3" t="s">
        <v>13</v>
      </c>
      <c r="B11" s="5" t="n">
        <v>0.07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1"/>
  </cols>
  <sheetData>
    <row r="1" customFormat="false" ht="17.35" hidden="false" customHeight="false" outlineLevel="0" collapsed="false">
      <c r="A1" s="1" t="s">
        <v>18</v>
      </c>
    </row>
    <row r="3" customFormat="false" ht="39.5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</row>
    <row r="4" customFormat="false" ht="15" hidden="false" customHeight="false" outlineLevel="0" collapsed="false">
      <c r="A4" s="0" t="s">
        <v>31</v>
      </c>
      <c r="B4" s="7" t="n">
        <v>2450</v>
      </c>
      <c r="C4" s="7" t="n">
        <v>3650</v>
      </c>
      <c r="D4" s="7" t="n">
        <v>4800</v>
      </c>
      <c r="E4" s="7" t="n">
        <v>1550</v>
      </c>
      <c r="F4" s="7" t="n">
        <v>1480</v>
      </c>
      <c r="G4" s="7" t="n">
        <v>430</v>
      </c>
      <c r="H4" s="7" t="n">
        <v>1420</v>
      </c>
      <c r="I4" s="7" t="n">
        <v>245</v>
      </c>
      <c r="J4" s="7" t="n">
        <v>58</v>
      </c>
      <c r="K4" s="7" t="n">
        <v>1000</v>
      </c>
      <c r="L4" s="7" t="n">
        <v>22000</v>
      </c>
    </row>
    <row r="5" customFormat="false" ht="15" hidden="false" customHeight="false" outlineLevel="0" collapsed="false">
      <c r="A5" s="0" t="s">
        <v>32</v>
      </c>
      <c r="B5" s="7" t="n">
        <v>2546.33</v>
      </c>
      <c r="C5" s="7" t="n">
        <v>3587.15</v>
      </c>
      <c r="D5" s="7" t="n">
        <v>5034.84</v>
      </c>
      <c r="E5" s="7" t="n">
        <v>1564.38</v>
      </c>
      <c r="F5" s="7" t="n">
        <v>1516.11</v>
      </c>
      <c r="G5" s="7" t="n">
        <v>447.05</v>
      </c>
      <c r="H5" s="7" t="n">
        <v>1459.86</v>
      </c>
      <c r="I5" s="7" t="n">
        <v>244.92</v>
      </c>
      <c r="J5" s="7" t="n">
        <v>58.84</v>
      </c>
      <c r="K5" s="7" t="n">
        <v>1002.41</v>
      </c>
      <c r="L5" s="7" t="n">
        <v>21500.58</v>
      </c>
    </row>
    <row r="6" customFormat="false" ht="15" hidden="false" customHeight="false" outlineLevel="0" collapsed="false">
      <c r="A6" s="0" t="s">
        <v>33</v>
      </c>
      <c r="B6" s="7" t="n">
        <v>2557.52</v>
      </c>
      <c r="C6" s="7" t="n">
        <v>3642.92</v>
      </c>
      <c r="D6" s="7" t="n">
        <v>4326.57</v>
      </c>
      <c r="E6" s="7" t="n">
        <v>1699.08</v>
      </c>
      <c r="F6" s="7" t="n">
        <v>1550.34</v>
      </c>
      <c r="G6" s="7" t="n">
        <v>434.36</v>
      </c>
      <c r="H6" s="7" t="n">
        <v>1545.04</v>
      </c>
      <c r="I6" s="7" t="n">
        <v>239.62</v>
      </c>
      <c r="J6" s="7" t="n">
        <v>56.69</v>
      </c>
      <c r="K6" s="7" t="n">
        <v>1006.97</v>
      </c>
      <c r="L6" s="7" t="n">
        <v>21595.41</v>
      </c>
    </row>
    <row r="7" customFormat="false" ht="15" hidden="false" customHeight="false" outlineLevel="0" collapsed="false">
      <c r="A7" s="0" t="s">
        <v>34</v>
      </c>
      <c r="B7" s="7" t="n">
        <v>2679.32</v>
      </c>
      <c r="C7" s="7" t="n">
        <v>3469.7</v>
      </c>
      <c r="D7" s="7" t="n">
        <v>4530.64</v>
      </c>
      <c r="E7" s="7" t="n">
        <v>1504.11</v>
      </c>
      <c r="F7" s="7" t="n">
        <v>1564.71</v>
      </c>
      <c r="G7" s="7" t="n">
        <v>462.21</v>
      </c>
      <c r="H7" s="7" t="n">
        <v>1454.28</v>
      </c>
      <c r="I7" s="7" t="n">
        <v>233.06</v>
      </c>
      <c r="J7" s="7" t="n">
        <v>57.43</v>
      </c>
      <c r="K7" s="7" t="n">
        <v>1010.55</v>
      </c>
      <c r="L7" s="7" t="n">
        <v>22225.98</v>
      </c>
    </row>
    <row r="8" customFormat="false" ht="15" hidden="false" customHeight="false" outlineLevel="0" collapsed="false">
      <c r="A8" s="0" t="s">
        <v>35</v>
      </c>
      <c r="B8" s="7" t="n">
        <v>2935.91</v>
      </c>
      <c r="C8" s="7" t="n">
        <v>3569.57</v>
      </c>
      <c r="D8" s="7" t="n">
        <v>4455.17</v>
      </c>
      <c r="E8" s="7" t="n">
        <v>1579.99</v>
      </c>
      <c r="F8" s="7" t="n">
        <v>1559.71</v>
      </c>
      <c r="G8" s="7" t="n">
        <v>439.99</v>
      </c>
      <c r="H8" s="7" t="n">
        <v>1361.81</v>
      </c>
      <c r="I8" s="7" t="n">
        <v>227.41</v>
      </c>
      <c r="J8" s="7" t="n">
        <v>58.61</v>
      </c>
      <c r="K8" s="7" t="n">
        <v>1016.44</v>
      </c>
      <c r="L8" s="7" t="n">
        <v>23195.7</v>
      </c>
    </row>
    <row r="9" customFormat="false" ht="15" hidden="false" customHeight="false" outlineLevel="0" collapsed="false">
      <c r="A9" s="0" t="s">
        <v>36</v>
      </c>
      <c r="B9" s="7" t="n">
        <v>2933.33</v>
      </c>
      <c r="C9" s="7" t="n">
        <v>3498.06</v>
      </c>
      <c r="D9" s="7" t="n">
        <v>4263.94</v>
      </c>
      <c r="E9" s="7" t="n">
        <v>1603.97</v>
      </c>
      <c r="F9" s="7" t="n">
        <v>1458.95</v>
      </c>
      <c r="G9" s="7" t="n">
        <v>453.84</v>
      </c>
      <c r="H9" s="7" t="n">
        <v>1420.74</v>
      </c>
      <c r="I9" s="7" t="n">
        <v>228.95</v>
      </c>
      <c r="J9" s="7" t="n">
        <v>57.21</v>
      </c>
      <c r="K9" s="7" t="n">
        <v>1031.44</v>
      </c>
      <c r="L9" s="7" t="n">
        <v>22290.79</v>
      </c>
    </row>
    <row r="10" customFormat="false" ht="15" hidden="false" customHeight="false" outlineLevel="0" collapsed="false">
      <c r="A10" s="0" t="s">
        <v>37</v>
      </c>
      <c r="B10" s="7" t="n">
        <v>2930.76</v>
      </c>
      <c r="C10" s="7" t="n">
        <v>3482.02</v>
      </c>
      <c r="D10" s="7" t="n">
        <v>4575.42</v>
      </c>
      <c r="E10" s="7" t="n">
        <v>1598.59</v>
      </c>
      <c r="F10" s="7" t="n">
        <v>1440.17</v>
      </c>
      <c r="G10" s="7" t="n">
        <v>497.24</v>
      </c>
      <c r="H10" s="7" t="n">
        <v>1463.68</v>
      </c>
      <c r="I10" s="7" t="n">
        <v>234.52</v>
      </c>
      <c r="J10" s="7" t="n">
        <v>57.92</v>
      </c>
      <c r="K10" s="7" t="n">
        <v>1029.41</v>
      </c>
      <c r="L10" s="7" t="n">
        <v>22193.16</v>
      </c>
    </row>
    <row r="11" customFormat="false" ht="15" hidden="false" customHeight="false" outlineLevel="0" collapsed="false">
      <c r="A11" s="0" t="s">
        <v>38</v>
      </c>
      <c r="B11" s="7" t="n">
        <v>3220.49</v>
      </c>
      <c r="C11" s="7" t="n">
        <v>3412.08</v>
      </c>
      <c r="D11" s="7" t="n">
        <v>5082.33</v>
      </c>
      <c r="E11" s="7" t="n">
        <v>1623.22</v>
      </c>
      <c r="F11" s="7" t="n">
        <v>1427.47</v>
      </c>
      <c r="G11" s="7" t="n">
        <v>481.52</v>
      </c>
      <c r="H11" s="7" t="n">
        <v>1503.97</v>
      </c>
      <c r="I11" s="7" t="n">
        <v>239.59</v>
      </c>
      <c r="J11" s="7" t="n">
        <v>58.44</v>
      </c>
      <c r="K11" s="7" t="n">
        <v>1037.9</v>
      </c>
      <c r="L11" s="7" t="n">
        <v>21971.28</v>
      </c>
    </row>
    <row r="12" customFormat="false" ht="15" hidden="false" customHeight="false" outlineLevel="0" collapsed="false">
      <c r="A12" s="0" t="s">
        <v>39</v>
      </c>
      <c r="B12" s="7" t="n">
        <v>3395.07</v>
      </c>
      <c r="C12" s="7" t="n">
        <v>3762.21</v>
      </c>
      <c r="D12" s="7" t="n">
        <v>5599.79</v>
      </c>
      <c r="E12" s="7" t="n">
        <v>1486.21</v>
      </c>
      <c r="F12" s="7" t="n">
        <v>1380.77</v>
      </c>
      <c r="G12" s="7" t="n">
        <v>474.46</v>
      </c>
      <c r="H12" s="7" t="n">
        <v>1553.74</v>
      </c>
      <c r="I12" s="7" t="n">
        <v>250.31</v>
      </c>
      <c r="J12" s="7" t="n">
        <v>56.51</v>
      </c>
      <c r="K12" s="7" t="n">
        <v>1036.91</v>
      </c>
      <c r="L12" s="7" t="n">
        <v>21594.84</v>
      </c>
    </row>
    <row r="13" customFormat="false" ht="15" hidden="false" customHeight="false" outlineLevel="0" collapsed="false">
      <c r="A13" s="0" t="s">
        <v>40</v>
      </c>
      <c r="B13" s="7" t="n">
        <v>3348.15</v>
      </c>
      <c r="C13" s="7" t="n">
        <v>3797.29</v>
      </c>
      <c r="D13" s="7" t="n">
        <v>5277.64</v>
      </c>
      <c r="E13" s="7" t="n">
        <v>1486.89</v>
      </c>
      <c r="F13" s="7" t="n">
        <v>1381.62</v>
      </c>
      <c r="G13" s="7" t="n">
        <v>480.15</v>
      </c>
      <c r="H13" s="7" t="n">
        <v>1512.66</v>
      </c>
      <c r="I13" s="7" t="n">
        <v>252.95</v>
      </c>
      <c r="J13" s="7" t="n">
        <v>57.61</v>
      </c>
      <c r="K13" s="7" t="n">
        <v>1040.66</v>
      </c>
      <c r="L13" s="7" t="n">
        <v>23314.18</v>
      </c>
    </row>
    <row r="14" customFormat="false" ht="15" hidden="false" customHeight="false" outlineLevel="0" collapsed="false">
      <c r="A14" s="0" t="s">
        <v>41</v>
      </c>
      <c r="B14" s="7" t="n">
        <v>3488.24</v>
      </c>
      <c r="C14" s="7" t="n">
        <v>3634.44</v>
      </c>
      <c r="D14" s="7" t="n">
        <v>5225.77</v>
      </c>
      <c r="E14" s="7" t="n">
        <v>1528.73</v>
      </c>
      <c r="F14" s="7" t="n">
        <v>1423.08</v>
      </c>
      <c r="G14" s="7" t="n">
        <v>474.32</v>
      </c>
      <c r="H14" s="7" t="n">
        <v>1552.7</v>
      </c>
      <c r="I14" s="7" t="n">
        <v>270.92</v>
      </c>
      <c r="J14" s="7" t="n">
        <v>59.14</v>
      </c>
      <c r="K14" s="7" t="n">
        <v>1050.92</v>
      </c>
      <c r="L14" s="7" t="n">
        <v>23901.68</v>
      </c>
    </row>
    <row r="15" customFormat="false" ht="15" hidden="false" customHeight="false" outlineLevel="0" collapsed="false">
      <c r="A15" s="0" t="s">
        <v>42</v>
      </c>
      <c r="B15" s="7" t="n">
        <v>3441.19</v>
      </c>
      <c r="C15" s="7" t="n">
        <v>3820.26</v>
      </c>
      <c r="D15" s="7" t="n">
        <v>5475.63</v>
      </c>
      <c r="E15" s="7" t="n">
        <v>1653.99</v>
      </c>
      <c r="F15" s="7" t="n">
        <v>1575.47</v>
      </c>
      <c r="G15" s="7" t="n">
        <v>448.69</v>
      </c>
      <c r="H15" s="7" t="n">
        <v>1599.28</v>
      </c>
      <c r="I15" s="7" t="n">
        <v>270.62</v>
      </c>
      <c r="J15" s="7" t="n">
        <v>61.8</v>
      </c>
      <c r="K15" s="7" t="n">
        <v>1056.97</v>
      </c>
      <c r="L15" s="7" t="n">
        <v>22911.31</v>
      </c>
    </row>
    <row r="16" customFormat="false" ht="15" hidden="false" customHeight="false" outlineLevel="0" collapsed="false">
      <c r="A16" s="0" t="s">
        <v>43</v>
      </c>
      <c r="B16" s="7" t="n">
        <v>3394.34</v>
      </c>
      <c r="C16" s="7" t="n">
        <v>3625.27</v>
      </c>
      <c r="D16" s="7" t="n">
        <v>6054.95</v>
      </c>
      <c r="E16" s="7" t="n">
        <v>1631.04</v>
      </c>
      <c r="F16" s="7" t="n">
        <v>1603.95</v>
      </c>
      <c r="G16" s="7" t="n">
        <v>453.51</v>
      </c>
      <c r="H16" s="7" t="n">
        <v>1553.81</v>
      </c>
      <c r="I16" s="7" t="n">
        <v>304.24</v>
      </c>
      <c r="J16" s="7" t="n">
        <v>64.51</v>
      </c>
      <c r="K16" s="7" t="n">
        <v>1058.23</v>
      </c>
      <c r="L16" s="7" t="n">
        <v>23958.69</v>
      </c>
    </row>
    <row r="17" customFormat="false" ht="15" hidden="false" customHeight="false" outlineLevel="0" collapsed="false">
      <c r="A17" s="0" t="s">
        <v>44</v>
      </c>
      <c r="B17" s="7" t="n">
        <v>3480.24</v>
      </c>
      <c r="C17" s="7" t="n">
        <v>3699.38</v>
      </c>
      <c r="D17" s="7" t="n">
        <v>5902.82</v>
      </c>
      <c r="E17" s="7" t="n">
        <v>1585.68</v>
      </c>
      <c r="F17" s="7" t="n">
        <v>1639.87</v>
      </c>
      <c r="G17" s="7" t="n">
        <v>437.87</v>
      </c>
      <c r="H17" s="7" t="n">
        <v>1742.15</v>
      </c>
      <c r="I17" s="7" t="n">
        <v>315.28</v>
      </c>
      <c r="J17" s="7" t="n">
        <v>61.85</v>
      </c>
      <c r="K17" s="7" t="n">
        <v>1061.02</v>
      </c>
      <c r="L17" s="7" t="n">
        <v>26208.08</v>
      </c>
    </row>
    <row r="18" customFormat="false" ht="15" hidden="false" customHeight="false" outlineLevel="0" collapsed="false">
      <c r="A18" s="0" t="s">
        <v>45</v>
      </c>
      <c r="B18" s="7" t="n">
        <v>3155.78</v>
      </c>
      <c r="C18" s="7" t="n">
        <v>3373.9</v>
      </c>
      <c r="D18" s="7" t="n">
        <v>5910.44</v>
      </c>
      <c r="E18" s="7" t="n">
        <v>1564.93</v>
      </c>
      <c r="F18" s="7" t="n">
        <v>1648.28</v>
      </c>
      <c r="G18" s="7" t="n">
        <v>449.67</v>
      </c>
      <c r="H18" s="7" t="n">
        <v>1812.68</v>
      </c>
      <c r="I18" s="7" t="n">
        <v>307.08</v>
      </c>
      <c r="J18" s="7" t="n">
        <v>60.25</v>
      </c>
      <c r="K18" s="7" t="n">
        <v>1069.74</v>
      </c>
      <c r="L18" s="7" t="n">
        <v>27526.31</v>
      </c>
    </row>
    <row r="19" customFormat="false" ht="15" hidden="false" customHeight="false" outlineLevel="0" collapsed="false">
      <c r="A19" s="0" t="s">
        <v>46</v>
      </c>
      <c r="B19" s="7" t="n">
        <v>2894.26</v>
      </c>
      <c r="C19" s="7" t="n">
        <v>3183.58</v>
      </c>
      <c r="D19" s="7" t="n">
        <v>5428.32</v>
      </c>
      <c r="E19" s="7" t="n">
        <v>1650.91</v>
      </c>
      <c r="F19" s="7" t="n">
        <v>1498.66</v>
      </c>
      <c r="G19" s="7" t="n">
        <v>436.73</v>
      </c>
      <c r="H19" s="7" t="n">
        <v>1711</v>
      </c>
      <c r="I19" s="7" t="n">
        <v>296.34</v>
      </c>
      <c r="J19" s="7" t="n">
        <v>61.76</v>
      </c>
      <c r="K19" s="7" t="n">
        <v>1072.5</v>
      </c>
      <c r="L19" s="7" t="n">
        <v>26101.14</v>
      </c>
    </row>
    <row r="20" customFormat="false" ht="15" hidden="false" customHeight="false" outlineLevel="0" collapsed="false">
      <c r="A20" s="0" t="s">
        <v>47</v>
      </c>
      <c r="B20" s="7" t="n">
        <v>2839.48</v>
      </c>
      <c r="C20" s="7" t="n">
        <v>3246.75</v>
      </c>
      <c r="D20" s="7" t="n">
        <v>4941.62</v>
      </c>
      <c r="E20" s="7" t="n">
        <v>1695.12</v>
      </c>
      <c r="F20" s="7" t="n">
        <v>1510.08</v>
      </c>
      <c r="G20" s="7" t="n">
        <v>467.3</v>
      </c>
      <c r="H20" s="7" t="n">
        <v>1798.4</v>
      </c>
      <c r="I20" s="7" t="n">
        <v>305.31</v>
      </c>
      <c r="J20" s="7" t="n">
        <v>63.3</v>
      </c>
      <c r="K20" s="7" t="n">
        <v>1079.33</v>
      </c>
      <c r="L20" s="7" t="n">
        <v>25830.49</v>
      </c>
    </row>
    <row r="21" customFormat="false" ht="15" hidden="false" customHeight="false" outlineLevel="0" collapsed="false">
      <c r="A21" s="0" t="s">
        <v>48</v>
      </c>
      <c r="B21" s="7" t="n">
        <v>2715.38</v>
      </c>
      <c r="C21" s="7" t="n">
        <v>3399.1</v>
      </c>
      <c r="D21" s="7" t="n">
        <v>5391.94</v>
      </c>
      <c r="E21" s="7" t="n">
        <v>1670.66</v>
      </c>
      <c r="F21" s="7" t="n">
        <v>1528.4</v>
      </c>
      <c r="G21" s="7" t="n">
        <v>456.4</v>
      </c>
      <c r="H21" s="7" t="n">
        <v>1720.11</v>
      </c>
      <c r="I21" s="7" t="n">
        <v>305.5</v>
      </c>
      <c r="J21" s="7" t="n">
        <v>64.88</v>
      </c>
      <c r="K21" s="7" t="n">
        <v>1085.46</v>
      </c>
      <c r="L21" s="7" t="n">
        <v>27371.96</v>
      </c>
    </row>
    <row r="22" customFormat="false" ht="15" hidden="false" customHeight="false" outlineLevel="0" collapsed="false">
      <c r="A22" s="0" t="s">
        <v>49</v>
      </c>
      <c r="B22" s="7" t="n">
        <v>2794.9</v>
      </c>
      <c r="C22" s="7" t="n">
        <v>3462.22</v>
      </c>
      <c r="D22" s="7" t="n">
        <v>6147.14</v>
      </c>
      <c r="E22" s="7" t="n">
        <v>1730.2</v>
      </c>
      <c r="F22" s="7" t="n">
        <v>1737.93</v>
      </c>
      <c r="G22" s="7" t="n">
        <v>454.17</v>
      </c>
      <c r="H22" s="7" t="n">
        <v>1821</v>
      </c>
      <c r="I22" s="7" t="n">
        <v>317.72</v>
      </c>
      <c r="J22" s="7" t="n">
        <v>74.08</v>
      </c>
      <c r="K22" s="7" t="n">
        <v>1088.6</v>
      </c>
      <c r="L22" s="7" t="n">
        <v>26843.5</v>
      </c>
    </row>
    <row r="23" customFormat="false" ht="15" hidden="false" customHeight="false" outlineLevel="0" collapsed="false">
      <c r="A23" s="0" t="s">
        <v>50</v>
      </c>
      <c r="B23" s="7" t="n">
        <v>2688.86</v>
      </c>
      <c r="C23" s="7" t="n">
        <v>3476.82</v>
      </c>
      <c r="D23" s="7" t="n">
        <v>6217.95</v>
      </c>
      <c r="E23" s="7" t="n">
        <v>1757.29</v>
      </c>
      <c r="F23" s="7" t="n">
        <v>1736.19</v>
      </c>
      <c r="G23" s="7" t="n">
        <v>472.58</v>
      </c>
      <c r="H23" s="7" t="n">
        <v>1967.04</v>
      </c>
      <c r="I23" s="7" t="n">
        <v>327.21</v>
      </c>
      <c r="J23" s="7" t="n">
        <v>76.08</v>
      </c>
      <c r="K23" s="7" t="n">
        <v>1103.92</v>
      </c>
      <c r="L23" s="7" t="n">
        <v>27561.64</v>
      </c>
    </row>
    <row r="24" customFormat="false" ht="15" hidden="false" customHeight="false" outlineLevel="0" collapsed="false">
      <c r="A24" s="0" t="s">
        <v>51</v>
      </c>
      <c r="B24" s="7" t="n">
        <v>2512.26</v>
      </c>
      <c r="C24" s="7" t="n">
        <v>3459.24</v>
      </c>
      <c r="D24" s="7" t="n">
        <v>6891.47</v>
      </c>
      <c r="E24" s="7" t="n">
        <v>1858.33</v>
      </c>
      <c r="F24" s="7" t="n">
        <v>1779.04</v>
      </c>
      <c r="G24" s="7" t="n">
        <v>453.09</v>
      </c>
      <c r="H24" s="7" t="n">
        <v>1898.98</v>
      </c>
      <c r="I24" s="7" t="n">
        <v>329.48</v>
      </c>
      <c r="J24" s="7" t="n">
        <v>79.64</v>
      </c>
      <c r="K24" s="7" t="n">
        <v>1112.79</v>
      </c>
      <c r="L24" s="7" t="n">
        <v>28663.7</v>
      </c>
    </row>
    <row r="25" customFormat="false" ht="15" hidden="false" customHeight="false" outlineLevel="0" collapsed="false">
      <c r="A25" s="0" t="s">
        <v>52</v>
      </c>
      <c r="B25" s="7" t="n">
        <v>2744.92</v>
      </c>
      <c r="C25" s="7" t="n">
        <v>3238.1</v>
      </c>
      <c r="D25" s="7" t="n">
        <v>7239.81</v>
      </c>
      <c r="E25" s="7" t="n">
        <v>1816.15</v>
      </c>
      <c r="F25" s="7" t="n">
        <v>1791.84</v>
      </c>
      <c r="G25" s="7" t="n">
        <v>460.84</v>
      </c>
      <c r="H25" s="7" t="n">
        <v>2029.77</v>
      </c>
      <c r="I25" s="7" t="n">
        <v>321.06</v>
      </c>
      <c r="J25" s="7" t="n">
        <v>82.86</v>
      </c>
      <c r="K25" s="7" t="n">
        <v>1109.9</v>
      </c>
      <c r="L25" s="7" t="n">
        <v>27858.9</v>
      </c>
    </row>
    <row r="26" customFormat="false" ht="15" hidden="false" customHeight="false" outlineLevel="0" collapsed="false">
      <c r="A26" s="0" t="s">
        <v>53</v>
      </c>
      <c r="B26" s="7" t="n">
        <v>2743.77</v>
      </c>
      <c r="C26" s="7" t="n">
        <v>3153.93</v>
      </c>
      <c r="D26" s="7" t="n">
        <v>6949.78</v>
      </c>
      <c r="E26" s="7" t="n">
        <v>1807.56</v>
      </c>
      <c r="F26" s="7" t="n">
        <v>1699.07</v>
      </c>
      <c r="G26" s="7" t="n">
        <v>488.62</v>
      </c>
      <c r="H26" s="7" t="n">
        <v>2104.75</v>
      </c>
      <c r="I26" s="7" t="n">
        <v>303.84</v>
      </c>
      <c r="J26" s="7" t="n">
        <v>85.33</v>
      </c>
      <c r="K26" s="7" t="n">
        <v>1116.83</v>
      </c>
      <c r="L26" s="7" t="n">
        <v>28043.3</v>
      </c>
    </row>
    <row r="27" customFormat="false" ht="15" hidden="false" customHeight="false" outlineLevel="0" collapsed="false">
      <c r="A27" s="0" t="s">
        <v>54</v>
      </c>
      <c r="B27" s="7" t="n">
        <v>2786.89</v>
      </c>
      <c r="C27" s="7" t="n">
        <v>3112.83</v>
      </c>
      <c r="D27" s="7" t="n">
        <v>7300.92</v>
      </c>
      <c r="E27" s="7" t="n">
        <v>1793.42</v>
      </c>
      <c r="F27" s="7" t="n">
        <v>1815.33</v>
      </c>
      <c r="G27" s="7" t="n">
        <v>461.11</v>
      </c>
      <c r="H27" s="7" t="n">
        <v>2232.47</v>
      </c>
      <c r="I27" s="7" t="n">
        <v>301.18</v>
      </c>
      <c r="J27" s="7" t="n">
        <v>84.99</v>
      </c>
      <c r="K27" s="7" t="n">
        <v>1120.02</v>
      </c>
      <c r="L27" s="7" t="n">
        <v>24659.86</v>
      </c>
    </row>
    <row r="28" customFormat="false" ht="15" hidden="false" customHeight="false" outlineLevel="0" collapsed="false">
      <c r="A28" s="0" t="s">
        <v>55</v>
      </c>
      <c r="B28" s="7" t="n">
        <v>2601.95</v>
      </c>
      <c r="C28" s="7" t="n">
        <v>3308.49</v>
      </c>
      <c r="D28" s="7" t="n">
        <v>8442.95</v>
      </c>
      <c r="E28" s="7" t="n">
        <v>1687.16</v>
      </c>
      <c r="F28" s="7" t="n">
        <v>1902.65</v>
      </c>
      <c r="G28" s="7" t="n">
        <v>468.2</v>
      </c>
      <c r="H28" s="7" t="n">
        <v>2507.1</v>
      </c>
      <c r="I28" s="7" t="n">
        <v>315.02</v>
      </c>
      <c r="J28" s="7" t="n">
        <v>87.84</v>
      </c>
      <c r="K28" s="7" t="n">
        <v>1130</v>
      </c>
      <c r="L28" s="7" t="n">
        <v>23871.35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3" min="12" style="0" width="4"/>
    <col collapsed="false" customWidth="true" hidden="false" outlineLevel="0" max="14" min="14" style="0" width="20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56</v>
      </c>
      <c r="N1" s="3" t="s">
        <v>57</v>
      </c>
      <c r="O1" s="8" t="n">
        <f aca="false">Investor_Profile!B6</f>
        <v>1000000</v>
      </c>
    </row>
    <row r="3" customFormat="false" ht="26.85" hidden="false" customHeight="false" outlineLevel="0" collapsed="false">
      <c r="A3" s="6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  <c r="H3" s="6" t="s">
        <v>65</v>
      </c>
      <c r="I3" s="6" t="s">
        <v>66</v>
      </c>
      <c r="J3" s="6" t="s">
        <v>67</v>
      </c>
      <c r="K3" s="6" t="s">
        <v>68</v>
      </c>
    </row>
    <row r="4" customFormat="false" ht="15" hidden="false" customHeight="false" outlineLevel="0" collapsed="false">
      <c r="A4" s="9" t="s">
        <v>69</v>
      </c>
      <c r="B4" s="10" t="s">
        <v>70</v>
      </c>
      <c r="C4" s="10" t="s">
        <v>71</v>
      </c>
      <c r="D4" s="10" t="s">
        <v>72</v>
      </c>
      <c r="E4" s="11" t="n">
        <f aca="false">Raw_Prices!B4</f>
        <v>2450</v>
      </c>
      <c r="F4" s="11" t="n">
        <f aca="false">Raw_Prices!B28</f>
        <v>2601.95</v>
      </c>
      <c r="G4" s="12" t="n">
        <v>0.12</v>
      </c>
      <c r="H4" s="8" t="n">
        <f aca="false">$O$1*G4</f>
        <v>120000</v>
      </c>
      <c r="I4" s="11" t="n">
        <f aca="false">H4/E4</f>
        <v>48.9795918367347</v>
      </c>
      <c r="J4" s="8" t="n">
        <f aca="false">I4*F4</f>
        <v>127442.448979592</v>
      </c>
      <c r="K4" s="13" t="n">
        <f aca="false">J4/SUM($J$4:$J$13)</f>
        <v>0.100739130030818</v>
      </c>
    </row>
    <row r="5" customFormat="false" ht="15" hidden="false" customHeight="false" outlineLevel="0" collapsed="false">
      <c r="A5" s="9" t="s">
        <v>73</v>
      </c>
      <c r="B5" s="10" t="s">
        <v>74</v>
      </c>
      <c r="C5" s="10" t="s">
        <v>71</v>
      </c>
      <c r="D5" s="10" t="s">
        <v>75</v>
      </c>
      <c r="E5" s="11" t="n">
        <f aca="false">Raw_Prices!C4</f>
        <v>3650</v>
      </c>
      <c r="F5" s="11" t="n">
        <f aca="false">Raw_Prices!C28</f>
        <v>3308.49</v>
      </c>
      <c r="G5" s="12" t="n">
        <v>0.1</v>
      </c>
      <c r="H5" s="8" t="n">
        <f aca="false">$O$1*G5</f>
        <v>100000</v>
      </c>
      <c r="I5" s="11" t="n">
        <f aca="false">H5/E5</f>
        <v>27.3972602739726</v>
      </c>
      <c r="J5" s="8" t="n">
        <f aca="false">I5*F5</f>
        <v>90643.5616438356</v>
      </c>
      <c r="K5" s="13" t="n">
        <f aca="false">J5/SUM($J$4:$J$13)</f>
        <v>0.0716508009380539</v>
      </c>
    </row>
    <row r="6" customFormat="false" ht="15" hidden="false" customHeight="false" outlineLevel="0" collapsed="false">
      <c r="A6" s="9" t="s">
        <v>76</v>
      </c>
      <c r="B6" s="10" t="s">
        <v>77</v>
      </c>
      <c r="C6" s="10" t="s">
        <v>78</v>
      </c>
      <c r="D6" s="10" t="s">
        <v>75</v>
      </c>
      <c r="E6" s="11" t="n">
        <f aca="false">Raw_Prices!D4</f>
        <v>4800</v>
      </c>
      <c r="F6" s="11" t="n">
        <f aca="false">Raw_Prices!D28</f>
        <v>8442.95</v>
      </c>
      <c r="G6" s="12" t="n">
        <v>0.08</v>
      </c>
      <c r="H6" s="8" t="n">
        <f aca="false">$O$1*G6</f>
        <v>80000</v>
      </c>
      <c r="I6" s="11" t="n">
        <f aca="false">H6/E6</f>
        <v>16.6666666666667</v>
      </c>
      <c r="J6" s="8" t="n">
        <f aca="false">I6*F6</f>
        <v>140715.833333333</v>
      </c>
      <c r="K6" s="13" t="n">
        <f aca="false">J6/SUM($J$4:$J$13)</f>
        <v>0.111231310643062</v>
      </c>
    </row>
    <row r="7" customFormat="false" ht="15" hidden="false" customHeight="false" outlineLevel="0" collapsed="false">
      <c r="A7" s="9" t="s">
        <v>79</v>
      </c>
      <c r="B7" s="10" t="s">
        <v>80</v>
      </c>
      <c r="C7" s="10" t="s">
        <v>81</v>
      </c>
      <c r="D7" s="10" t="s">
        <v>82</v>
      </c>
      <c r="E7" s="11" t="n">
        <f aca="false">Raw_Prices!E4</f>
        <v>1550</v>
      </c>
      <c r="F7" s="11" t="n">
        <f aca="false">Raw_Prices!E28</f>
        <v>1687.16</v>
      </c>
      <c r="G7" s="12" t="n">
        <v>0.12</v>
      </c>
      <c r="H7" s="8" t="n">
        <f aca="false">$O$1*G7</f>
        <v>120000</v>
      </c>
      <c r="I7" s="11" t="n">
        <f aca="false">H7/E7</f>
        <v>77.4193548387097</v>
      </c>
      <c r="J7" s="8" t="n">
        <f aca="false">I7*F7</f>
        <v>130618.838709677</v>
      </c>
      <c r="K7" s="13" t="n">
        <f aca="false">J7/SUM($J$4:$J$13)</f>
        <v>0.103249963278372</v>
      </c>
    </row>
    <row r="8" customFormat="false" ht="15" hidden="false" customHeight="false" outlineLevel="0" collapsed="false">
      <c r="A8" s="9" t="s">
        <v>83</v>
      </c>
      <c r="B8" s="10" t="s">
        <v>84</v>
      </c>
      <c r="C8" s="10" t="s">
        <v>75</v>
      </c>
      <c r="D8" s="10" t="s">
        <v>85</v>
      </c>
      <c r="E8" s="11" t="n">
        <f aca="false">Raw_Prices!F4</f>
        <v>1480</v>
      </c>
      <c r="F8" s="11" t="n">
        <f aca="false">Raw_Prices!F28</f>
        <v>1902.65</v>
      </c>
      <c r="G8" s="12" t="n">
        <v>0.1</v>
      </c>
      <c r="H8" s="8" t="n">
        <f aca="false">$O$1*G8</f>
        <v>100000</v>
      </c>
      <c r="I8" s="11" t="n">
        <f aca="false">H8/E8</f>
        <v>67.5675675675676</v>
      </c>
      <c r="J8" s="8" t="n">
        <f aca="false">I8*F8</f>
        <v>128557.432432432</v>
      </c>
      <c r="K8" s="13" t="n">
        <f aca="false">J8/SUM($J$4:$J$13)</f>
        <v>0.101620488353239</v>
      </c>
    </row>
    <row r="9" customFormat="false" ht="15" hidden="false" customHeight="false" outlineLevel="0" collapsed="false">
      <c r="A9" s="9" t="s">
        <v>86</v>
      </c>
      <c r="B9" s="10" t="s">
        <v>87</v>
      </c>
      <c r="C9" s="10" t="s">
        <v>88</v>
      </c>
      <c r="D9" s="10" t="s">
        <v>89</v>
      </c>
      <c r="E9" s="11" t="n">
        <f aca="false">Raw_Prices!G4</f>
        <v>430</v>
      </c>
      <c r="F9" s="11" t="n">
        <f aca="false">Raw_Prices!G28</f>
        <v>468.2</v>
      </c>
      <c r="G9" s="12" t="n">
        <v>0.08</v>
      </c>
      <c r="H9" s="8" t="n">
        <f aca="false">$O$1*G9</f>
        <v>80000</v>
      </c>
      <c r="I9" s="11" t="n">
        <f aca="false">H9/E9</f>
        <v>186.046511627907</v>
      </c>
      <c r="J9" s="8" t="n">
        <f aca="false">I9*F9</f>
        <v>87106.9767441861</v>
      </c>
      <c r="K9" s="13" t="n">
        <f aca="false">J9/SUM($J$4:$J$13)</f>
        <v>0.0688552450701039</v>
      </c>
    </row>
    <row r="10" customFormat="false" ht="15" hidden="false" customHeight="false" outlineLevel="0" collapsed="false">
      <c r="A10" s="9" t="s">
        <v>90</v>
      </c>
      <c r="B10" s="10" t="s">
        <v>91</v>
      </c>
      <c r="C10" s="10" t="s">
        <v>92</v>
      </c>
      <c r="D10" s="10" t="s">
        <v>93</v>
      </c>
      <c r="E10" s="11" t="n">
        <f aca="false">Raw_Prices!H4</f>
        <v>1420</v>
      </c>
      <c r="F10" s="11" t="n">
        <f aca="false">Raw_Prices!H28</f>
        <v>2507.1</v>
      </c>
      <c r="G10" s="12" t="n">
        <v>0.08</v>
      </c>
      <c r="H10" s="8" t="n">
        <f aca="false">$O$1*G10</f>
        <v>80000</v>
      </c>
      <c r="I10" s="11" t="n">
        <f aca="false">H10/E10</f>
        <v>56.3380281690141</v>
      </c>
      <c r="J10" s="8" t="n">
        <f aca="false">I10*F10</f>
        <v>141245.070422535</v>
      </c>
      <c r="K10" s="13" t="n">
        <f aca="false">J10/SUM($J$4:$J$13)</f>
        <v>0.111649655428282</v>
      </c>
    </row>
    <row r="11" customFormat="false" ht="15" hidden="false" customHeight="false" outlineLevel="0" collapsed="false">
      <c r="A11" s="9" t="s">
        <v>94</v>
      </c>
      <c r="B11" s="10" t="s">
        <v>95</v>
      </c>
      <c r="C11" s="10" t="s">
        <v>96</v>
      </c>
      <c r="D11" s="10" t="s">
        <v>97</v>
      </c>
      <c r="E11" s="11" t="n">
        <f aca="false">Raw_Prices!I4</f>
        <v>245</v>
      </c>
      <c r="F11" s="11" t="n">
        <f aca="false">Raw_Prices!I28</f>
        <v>315.02</v>
      </c>
      <c r="G11" s="12" t="n">
        <v>0.12</v>
      </c>
      <c r="H11" s="8" t="n">
        <f aca="false">$O$1*G11</f>
        <v>120000</v>
      </c>
      <c r="I11" s="11" t="n">
        <f aca="false">H11/E11</f>
        <v>489.795918367347</v>
      </c>
      <c r="J11" s="8" t="n">
        <f aca="false">I11*F11</f>
        <v>154295.510204082</v>
      </c>
      <c r="K11" s="13" t="n">
        <f aca="false">J11/SUM($J$4:$J$13)</f>
        <v>0.121965605573928</v>
      </c>
    </row>
    <row r="12" customFormat="false" ht="15" hidden="false" customHeight="false" outlineLevel="0" collapsed="false">
      <c r="A12" s="9" t="s">
        <v>98</v>
      </c>
      <c r="B12" s="10" t="s">
        <v>99</v>
      </c>
      <c r="C12" s="10" t="s">
        <v>99</v>
      </c>
      <c r="D12" s="10" t="s">
        <v>100</v>
      </c>
      <c r="E12" s="11" t="n">
        <f aca="false">Raw_Prices!J4</f>
        <v>58</v>
      </c>
      <c r="F12" s="11" t="n">
        <f aca="false">Raw_Prices!J28</f>
        <v>87.84</v>
      </c>
      <c r="G12" s="12" t="n">
        <v>0.1</v>
      </c>
      <c r="H12" s="8" t="n">
        <f aca="false">$O$1*G12</f>
        <v>100000</v>
      </c>
      <c r="I12" s="11" t="n">
        <f aca="false">H12/E12</f>
        <v>1724.13793103448</v>
      </c>
      <c r="J12" s="8" t="n">
        <f aca="false">I12*F12</f>
        <v>151448.275862069</v>
      </c>
      <c r="K12" s="13" t="n">
        <f aca="false">J12/SUM($J$4:$J$13)</f>
        <v>0.1197149590044</v>
      </c>
    </row>
    <row r="13" customFormat="false" ht="15" hidden="false" customHeight="false" outlineLevel="0" collapsed="false">
      <c r="A13" s="9" t="s">
        <v>101</v>
      </c>
      <c r="B13" s="10" t="s">
        <v>102</v>
      </c>
      <c r="C13" s="10" t="s">
        <v>103</v>
      </c>
      <c r="D13" s="10" t="s">
        <v>104</v>
      </c>
      <c r="E13" s="11" t="n">
        <f aca="false">Raw_Prices!K4</f>
        <v>1000</v>
      </c>
      <c r="F13" s="11" t="n">
        <f aca="false">Raw_Prices!K28</f>
        <v>1130</v>
      </c>
      <c r="G13" s="12" t="n">
        <v>0.1</v>
      </c>
      <c r="H13" s="8" t="n">
        <f aca="false">$O$1*G13</f>
        <v>100000</v>
      </c>
      <c r="I13" s="11" t="n">
        <f aca="false">H13/E13</f>
        <v>100</v>
      </c>
      <c r="J13" s="8" t="n">
        <f aca="false">I13*F13</f>
        <v>113000</v>
      </c>
      <c r="K13" s="13" t="n">
        <f aca="false">J13/SUM($J$4:$J$13)</f>
        <v>0.0893228416797401</v>
      </c>
    </row>
    <row r="14" customFormat="false" ht="15" hidden="false" customHeight="false" outlineLevel="0" collapsed="false">
      <c r="A14" s="3"/>
      <c r="B14" s="3" t="s">
        <v>105</v>
      </c>
      <c r="C14" s="3"/>
      <c r="D14" s="3"/>
      <c r="E14" s="3"/>
      <c r="F14" s="3"/>
      <c r="G14" s="14" t="n">
        <f aca="false">SUM(G4:G13)</f>
        <v>1</v>
      </c>
      <c r="H14" s="15" t="n">
        <f aca="false">SUM(H4:H13)</f>
        <v>1000000</v>
      </c>
      <c r="I14" s="3"/>
      <c r="J14" s="15" t="n">
        <f aca="false">SUM(J4:J13)</f>
        <v>1265073.94833174</v>
      </c>
      <c r="K14" s="14" t="n">
        <f aca="false">SUM(K4:K13)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9"/>
    <col collapsed="false" customWidth="true" hidden="false" outlineLevel="0" max="13" min="12" style="0" width="16"/>
  </cols>
  <sheetData>
    <row r="1" customFormat="false" ht="17.35" hidden="false" customHeight="false" outlineLevel="0" collapsed="false">
      <c r="A1" s="1" t="s">
        <v>106</v>
      </c>
    </row>
    <row r="3" customFormat="false" ht="26.85" hidden="false" customHeight="false" outlineLevel="0" collapsed="false">
      <c r="A3" s="6" t="s">
        <v>19</v>
      </c>
      <c r="B3" s="6" t="s">
        <v>69</v>
      </c>
      <c r="C3" s="6" t="s">
        <v>73</v>
      </c>
      <c r="D3" s="6" t="s">
        <v>76</v>
      </c>
      <c r="E3" s="6" t="s">
        <v>79</v>
      </c>
      <c r="F3" s="6" t="s">
        <v>83</v>
      </c>
      <c r="G3" s="6" t="s">
        <v>86</v>
      </c>
      <c r="H3" s="6" t="s">
        <v>90</v>
      </c>
      <c r="I3" s="6" t="s">
        <v>94</v>
      </c>
      <c r="J3" s="6" t="s">
        <v>98</v>
      </c>
      <c r="K3" s="6" t="s">
        <v>101</v>
      </c>
      <c r="L3" s="6" t="s">
        <v>107</v>
      </c>
      <c r="M3" s="6" t="s">
        <v>108</v>
      </c>
    </row>
    <row r="4" customFormat="false" ht="15" hidden="false" customHeight="false" outlineLevel="0" collapsed="false">
      <c r="A4" s="16" t="str">
        <f aca="false">Raw_Prices!A5</f>
        <v>2024-02-29</v>
      </c>
      <c r="B4" s="17" t="n">
        <f aca="false">(Raw_Prices!B5-Raw_Prices!B4)/Raw_Prices!B4</f>
        <v>0.0393183673469388</v>
      </c>
      <c r="C4" s="17" t="n">
        <f aca="false">(Raw_Prices!C5-Raw_Prices!C4)/Raw_Prices!C4</f>
        <v>-0.0172191780821918</v>
      </c>
      <c r="D4" s="17" t="n">
        <f aca="false">(Raw_Prices!D5-Raw_Prices!D4)/Raw_Prices!D4</f>
        <v>0.048925</v>
      </c>
      <c r="E4" s="17" t="n">
        <f aca="false">(Raw_Prices!E5-Raw_Prices!E4)/Raw_Prices!E4</f>
        <v>0.00927741935483878</v>
      </c>
      <c r="F4" s="17" t="n">
        <f aca="false">(Raw_Prices!F5-Raw_Prices!F4)/Raw_Prices!F4</f>
        <v>0.0243986486486486</v>
      </c>
      <c r="G4" s="17" t="n">
        <f aca="false">(Raw_Prices!G5-Raw_Prices!G4)/Raw_Prices!G4</f>
        <v>0.0396511627906977</v>
      </c>
      <c r="H4" s="17" t="n">
        <f aca="false">(Raw_Prices!H5-Raw_Prices!H4)/Raw_Prices!H4</f>
        <v>0.0280704225352112</v>
      </c>
      <c r="I4" s="17" t="n">
        <f aca="false">(Raw_Prices!I5-Raw_Prices!I4)/Raw_Prices!I4</f>
        <v>-0.000326530612244949</v>
      </c>
      <c r="J4" s="17" t="n">
        <f aca="false">(Raw_Prices!J5-Raw_Prices!J4)/Raw_Prices!J4</f>
        <v>0.0144827586206897</v>
      </c>
      <c r="K4" s="17" t="n">
        <f aca="false">(Raw_Prices!K5-Raw_Prices!K4)/Raw_Prices!K4</f>
        <v>0.00240999999999997</v>
      </c>
      <c r="L4" s="17" t="n">
        <f aca="false">B4*Portfolio_Holdings!$K$4+C4*Portfolio_Holdings!$K$5+D4*Portfolio_Holdings!$K$6+E4*Portfolio_Holdings!$K$7+F4*Portfolio_Holdings!$K$8+G4*Portfolio_Holdings!$K$9+H4*Portfolio_Holdings!$K$10+I4*Portfolio_Holdings!$K$11+J4*Portfolio_Holdings!$K$12+K4*Portfolio_Holdings!$K$13</f>
        <v>0.0193799068256149</v>
      </c>
      <c r="M4" s="17" t="n">
        <f aca="false">(Raw_Prices!L5-Raw_Prices!L4)/Raw_Prices!L4</f>
        <v>-0.022700909090909</v>
      </c>
    </row>
    <row r="5" customFormat="false" ht="15" hidden="false" customHeight="false" outlineLevel="0" collapsed="false">
      <c r="A5" s="16" t="str">
        <f aca="false">Raw_Prices!A6</f>
        <v>2024-03-31</v>
      </c>
      <c r="B5" s="17" t="n">
        <f aca="false">(Raw_Prices!B6-Raw_Prices!B5)/Raw_Prices!B5</f>
        <v>0.00439456001382384</v>
      </c>
      <c r="C5" s="17" t="n">
        <f aca="false">(Raw_Prices!C6-Raw_Prices!C5)/Raw_Prices!C5</f>
        <v>0.0155471613955368</v>
      </c>
      <c r="D5" s="17" t="n">
        <f aca="false">(Raw_Prices!D6-Raw_Prices!D5)/Raw_Prices!D5</f>
        <v>-0.140673785065663</v>
      </c>
      <c r="E5" s="17" t="n">
        <f aca="false">(Raw_Prices!E6-Raw_Prices!E5)/Raw_Prices!E5</f>
        <v>0.0861043991868982</v>
      </c>
      <c r="F5" s="17" t="n">
        <f aca="false">(Raw_Prices!F6-Raw_Prices!F5)/Raw_Prices!F5</f>
        <v>0.0225775174624533</v>
      </c>
      <c r="G5" s="17" t="n">
        <f aca="false">(Raw_Prices!G6-Raw_Prices!G5)/Raw_Prices!G5</f>
        <v>-0.028386086567498</v>
      </c>
      <c r="H5" s="17" t="n">
        <f aca="false">(Raw_Prices!H6-Raw_Prices!H5)/Raw_Prices!H5</f>
        <v>0.0583480607729509</v>
      </c>
      <c r="I5" s="17" t="n">
        <f aca="false">(Raw_Prices!I6-Raw_Prices!I5)/Raw_Prices!I5</f>
        <v>-0.0216397190919483</v>
      </c>
      <c r="J5" s="17" t="n">
        <f aca="false">(Raw_Prices!J6-Raw_Prices!J5)/Raw_Prices!J5</f>
        <v>-0.036539768864718</v>
      </c>
      <c r="K5" s="17" t="n">
        <f aca="false">(Raw_Prices!K6-Raw_Prices!K5)/Raw_Prices!K5</f>
        <v>0.00454903682126082</v>
      </c>
      <c r="L5" s="17" t="n">
        <f aca="false">B5*Portfolio_Holdings!$K$4+C5*Portfolio_Holdings!$K$5+D5*Portfolio_Holdings!$K$6+E5*Portfolio_Holdings!$K$7+F5*Portfolio_Holdings!$K$8+G5*Portfolio_Holdings!$K$9+H5*Portfolio_Holdings!$K$10+I5*Portfolio_Holdings!$K$11+J5*Portfolio_Holdings!$K$12+K5*Portfolio_Holdings!$K$13</f>
        <v>-0.00495335990888423</v>
      </c>
      <c r="M5" s="17" t="n">
        <f aca="false">(Raw_Prices!L6-Raw_Prices!L5)/Raw_Prices!L5</f>
        <v>0.00441057869136545</v>
      </c>
    </row>
    <row r="6" customFormat="false" ht="15" hidden="false" customHeight="false" outlineLevel="0" collapsed="false">
      <c r="A6" s="16" t="str">
        <f aca="false">Raw_Prices!A7</f>
        <v>2024-04-30</v>
      </c>
      <c r="B6" s="17" t="n">
        <f aca="false">(Raw_Prices!B7-Raw_Prices!B6)/Raw_Prices!B6</f>
        <v>0.0476242610028466</v>
      </c>
      <c r="C6" s="17" t="n">
        <f aca="false">(Raw_Prices!C7-Raw_Prices!C6)/Raw_Prices!C6</f>
        <v>-0.0475497677687131</v>
      </c>
      <c r="D6" s="17" t="n">
        <f aca="false">(Raw_Prices!D7-Raw_Prices!D6)/Raw_Prices!D6</f>
        <v>0.0471666932466135</v>
      </c>
      <c r="E6" s="17" t="n">
        <f aca="false">(Raw_Prices!E7-Raw_Prices!E6)/Raw_Prices!E6</f>
        <v>-0.114750335475669</v>
      </c>
      <c r="F6" s="17" t="n">
        <f aca="false">(Raw_Prices!F7-Raw_Prices!F6)/Raw_Prices!F6</f>
        <v>0.00926893455629096</v>
      </c>
      <c r="G6" s="17" t="n">
        <f aca="false">(Raw_Prices!G7-Raw_Prices!G6)/Raw_Prices!G6</f>
        <v>0.0641173220370199</v>
      </c>
      <c r="H6" s="17" t="n">
        <f aca="false">(Raw_Prices!H7-Raw_Prices!H6)/Raw_Prices!H6</f>
        <v>-0.0587428157199814</v>
      </c>
      <c r="I6" s="17" t="n">
        <f aca="false">(Raw_Prices!I7-Raw_Prices!I6)/Raw_Prices!I6</f>
        <v>-0.0273766797429263</v>
      </c>
      <c r="J6" s="17" t="n">
        <f aca="false">(Raw_Prices!J7-Raw_Prices!J6)/Raw_Prices!J6</f>
        <v>0.0130534485799965</v>
      </c>
      <c r="K6" s="17" t="n">
        <f aca="false">(Raw_Prices!K7-Raw_Prices!K6)/Raw_Prices!K6</f>
        <v>0.00355522011579285</v>
      </c>
      <c r="L6" s="17" t="n">
        <f aca="false">B6*Portfolio_Holdings!$K$4+C6*Portfolio_Holdings!$K$5+D6*Portfolio_Holdings!$K$6+E6*Portfolio_Holdings!$K$7+F6*Portfolio_Holdings!$K$8+G6*Portfolio_Holdings!$K$9+H6*Portfolio_Holdings!$K$10+I6*Portfolio_Holdings!$K$11+J6*Portfolio_Holdings!$K$12+K6*Portfolio_Holdings!$K$13</f>
        <v>-0.00787155259287328</v>
      </c>
      <c r="M6" s="17" t="n">
        <f aca="false">(Raw_Prices!L7-Raw_Prices!L6)/Raw_Prices!L6</f>
        <v>0.0291992603983902</v>
      </c>
    </row>
    <row r="7" customFormat="false" ht="15" hidden="false" customHeight="false" outlineLevel="0" collapsed="false">
      <c r="A7" s="16" t="str">
        <f aca="false">Raw_Prices!A8</f>
        <v>2024-05-31</v>
      </c>
      <c r="B7" s="17" t="n">
        <f aca="false">(Raw_Prices!B8-Raw_Prices!B7)/Raw_Prices!B7</f>
        <v>0.0957668363614647</v>
      </c>
      <c r="C7" s="17" t="n">
        <f aca="false">(Raw_Prices!C8-Raw_Prices!C7)/Raw_Prices!C7</f>
        <v>0.0287834683113815</v>
      </c>
      <c r="D7" s="17" t="n">
        <f aca="false">(Raw_Prices!D8-Raw_Prices!D7)/Raw_Prices!D7</f>
        <v>-0.0166576907456784</v>
      </c>
      <c r="E7" s="17" t="n">
        <f aca="false">(Raw_Prices!E8-Raw_Prices!E7)/Raw_Prices!E7</f>
        <v>0.0504484379466928</v>
      </c>
      <c r="F7" s="17" t="n">
        <f aca="false">(Raw_Prices!F8-Raw_Prices!F7)/Raw_Prices!F7</f>
        <v>-0.00319548031264579</v>
      </c>
      <c r="G7" s="17" t="n">
        <f aca="false">(Raw_Prices!G8-Raw_Prices!G7)/Raw_Prices!G7</f>
        <v>-0.0480733865558944</v>
      </c>
      <c r="H7" s="17" t="n">
        <f aca="false">(Raw_Prices!H8-Raw_Prices!H7)/Raw_Prices!H7</f>
        <v>-0.0635847292130814</v>
      </c>
      <c r="I7" s="17" t="n">
        <f aca="false">(Raw_Prices!I8-Raw_Prices!I7)/Raw_Prices!I7</f>
        <v>-0.024242684287308</v>
      </c>
      <c r="J7" s="17" t="n">
        <f aca="false">(Raw_Prices!J8-Raw_Prices!J7)/Raw_Prices!J7</f>
        <v>0.0205467525683441</v>
      </c>
      <c r="K7" s="17" t="n">
        <f aca="false">(Raw_Prices!K8-Raw_Prices!K7)/Raw_Prices!K7</f>
        <v>0.00582850922764841</v>
      </c>
      <c r="L7" s="17" t="n">
        <f aca="false">B7*Portfolio_Holdings!$K$4+C7*Portfolio_Holdings!$K$5+D7*Portfolio_Holdings!$K$6+E7*Portfolio_Holdings!$K$7+F7*Portfolio_Holdings!$K$8+G7*Portfolio_Holdings!$K$9+H7*Portfolio_Holdings!$K$10+I7*Portfolio_Holdings!$K$11+J7*Portfolio_Holdings!$K$12+K7*Portfolio_Holdings!$K$13</f>
        <v>0.00435532371949449</v>
      </c>
      <c r="M7" s="17" t="n">
        <f aca="false">(Raw_Prices!L8-Raw_Prices!L7)/Raw_Prices!L7</f>
        <v>0.0436300221632523</v>
      </c>
    </row>
    <row r="8" customFormat="false" ht="15" hidden="false" customHeight="false" outlineLevel="0" collapsed="false">
      <c r="A8" s="16" t="str">
        <f aca="false">Raw_Prices!A9</f>
        <v>2024-06-30</v>
      </c>
      <c r="B8" s="17" t="n">
        <f aca="false">(Raw_Prices!B9-Raw_Prices!B8)/Raw_Prices!B8</f>
        <v>-0.000878773531886171</v>
      </c>
      <c r="C8" s="17" t="n">
        <f aca="false">(Raw_Prices!C9-Raw_Prices!C8)/Raw_Prices!C8</f>
        <v>-0.0200332252904412</v>
      </c>
      <c r="D8" s="17" t="n">
        <f aca="false">(Raw_Prices!D9-Raw_Prices!D8)/Raw_Prices!D8</f>
        <v>-0.0429231656704459</v>
      </c>
      <c r="E8" s="17" t="n">
        <f aca="false">(Raw_Prices!E9-Raw_Prices!E8)/Raw_Prices!E8</f>
        <v>0.0151773112488054</v>
      </c>
      <c r="F8" s="17" t="n">
        <f aca="false">(Raw_Prices!F9-Raw_Prices!F8)/Raw_Prices!F8</f>
        <v>-0.0646017528899603</v>
      </c>
      <c r="G8" s="17" t="n">
        <f aca="false">(Raw_Prices!G9-Raw_Prices!G8)/Raw_Prices!G8</f>
        <v>0.0314779881360939</v>
      </c>
      <c r="H8" s="17" t="n">
        <f aca="false">(Raw_Prices!H9-Raw_Prices!H8)/Raw_Prices!H8</f>
        <v>0.0432732906940029</v>
      </c>
      <c r="I8" s="17" t="n">
        <f aca="false">(Raw_Prices!I9-Raw_Prices!I8)/Raw_Prices!I8</f>
        <v>0.006771909766501</v>
      </c>
      <c r="J8" s="17" t="n">
        <f aca="false">(Raw_Prices!J9-Raw_Prices!J8)/Raw_Prices!J8</f>
        <v>-0.0238867087527725</v>
      </c>
      <c r="K8" s="17" t="n">
        <f aca="false">(Raw_Prices!K9-Raw_Prices!K8)/Raw_Prices!K8</f>
        <v>0.0147573885325253</v>
      </c>
      <c r="L8" s="17" t="n">
        <f aca="false">B8*Portfolio_Holdings!$K$4+C8*Portfolio_Holdings!$K$5+D8*Portfolio_Holdings!$K$6+E8*Portfolio_Holdings!$K$7+F8*Portfolio_Holdings!$K$8+G8*Portfolio_Holdings!$K$9+H8*Portfolio_Holdings!$K$10+I8*Portfolio_Holdings!$K$11+J8*Portfolio_Holdings!$K$12+K8*Portfolio_Holdings!$K$13</f>
        <v>-0.00501274016242127</v>
      </c>
      <c r="M8" s="17" t="n">
        <f aca="false">(Raw_Prices!L9-Raw_Prices!L8)/Raw_Prices!L8</f>
        <v>-0.0390119720465431</v>
      </c>
    </row>
    <row r="9" customFormat="false" ht="15" hidden="false" customHeight="false" outlineLevel="0" collapsed="false">
      <c r="A9" s="16" t="str">
        <f aca="false">Raw_Prices!A10</f>
        <v>2024-07-31</v>
      </c>
      <c r="B9" s="17" t="n">
        <f aca="false">(Raw_Prices!B10-Raw_Prices!B9)/Raw_Prices!B9</f>
        <v>-0.0008761373592469</v>
      </c>
      <c r="C9" s="17" t="n">
        <f aca="false">(Raw_Prices!C10-Raw_Prices!C9)/Raw_Prices!C9</f>
        <v>-0.00458539876388626</v>
      </c>
      <c r="D9" s="17" t="n">
        <f aca="false">(Raw_Prices!D10-Raw_Prices!D9)/Raw_Prices!D9</f>
        <v>0.0730498083931764</v>
      </c>
      <c r="E9" s="17" t="n">
        <f aca="false">(Raw_Prices!E10-Raw_Prices!E9)/Raw_Prices!E9</f>
        <v>-0.00335417744720918</v>
      </c>
      <c r="F9" s="17" t="n">
        <f aca="false">(Raw_Prices!F10-Raw_Prices!F9)/Raw_Prices!F9</f>
        <v>-0.012872271153912</v>
      </c>
      <c r="G9" s="17" t="n">
        <f aca="false">(Raw_Prices!G10-Raw_Prices!G9)/Raw_Prices!G9</f>
        <v>0.0956284153005465</v>
      </c>
      <c r="H9" s="17" t="n">
        <f aca="false">(Raw_Prices!H10-Raw_Prices!H9)/Raw_Prices!H9</f>
        <v>0.0302236862480116</v>
      </c>
      <c r="I9" s="17" t="n">
        <f aca="false">(Raw_Prices!I10-Raw_Prices!I9)/Raw_Prices!I9</f>
        <v>0.0243284559947588</v>
      </c>
      <c r="J9" s="17" t="n">
        <f aca="false">(Raw_Prices!J10-Raw_Prices!J9)/Raw_Prices!J9</f>
        <v>0.012410417759133</v>
      </c>
      <c r="K9" s="17" t="n">
        <f aca="false">(Raw_Prices!K10-Raw_Prices!K9)/Raw_Prices!K9</f>
        <v>-0.0019681222368727</v>
      </c>
      <c r="L9" s="17" t="n">
        <f aca="false">B9*Portfolio_Holdings!$K$4+C9*Portfolio_Holdings!$K$5+D9*Portfolio_Holdings!$K$6+E9*Portfolio_Holdings!$K$7+F9*Portfolio_Holdings!$K$8+G9*Portfolio_Holdings!$K$9+H9*Portfolio_Holdings!$K$10+I9*Portfolio_Holdings!$K$11+J9*Portfolio_Holdings!$K$12+K9*Portfolio_Holdings!$K$13</f>
        <v>0.0202903433181761</v>
      </c>
      <c r="M9" s="17" t="n">
        <f aca="false">(Raw_Prices!L10-Raw_Prices!L9)/Raw_Prices!L9</f>
        <v>-0.00437983579765459</v>
      </c>
    </row>
    <row r="10" customFormat="false" ht="15" hidden="false" customHeight="false" outlineLevel="0" collapsed="false">
      <c r="A10" s="16" t="str">
        <f aca="false">Raw_Prices!A11</f>
        <v>2024-08-31</v>
      </c>
      <c r="B10" s="17" t="n">
        <f aca="false">(Raw_Prices!B11-Raw_Prices!B10)/Raw_Prices!B10</f>
        <v>0.0988583166141204</v>
      </c>
      <c r="C10" s="17" t="n">
        <f aca="false">(Raw_Prices!C11-Raw_Prices!C10)/Raw_Prices!C10</f>
        <v>-0.0200860420100976</v>
      </c>
      <c r="D10" s="17" t="n">
        <f aca="false">(Raw_Prices!D11-Raw_Prices!D10)/Raw_Prices!D10</f>
        <v>0.11078982913044</v>
      </c>
      <c r="E10" s="17" t="n">
        <f aca="false">(Raw_Prices!E11-Raw_Prices!E10)/Raw_Prices!E10</f>
        <v>0.0154073277075423</v>
      </c>
      <c r="F10" s="17" t="n">
        <f aca="false">(Raw_Prices!F11-Raw_Prices!F10)/Raw_Prices!F10</f>
        <v>-0.00881840338293399</v>
      </c>
      <c r="G10" s="17" t="n">
        <f aca="false">(Raw_Prices!G11-Raw_Prices!G10)/Raw_Prices!G10</f>
        <v>-0.0316145121068298</v>
      </c>
      <c r="H10" s="17" t="n">
        <f aca="false">(Raw_Prices!H11-Raw_Prices!H10)/Raw_Prices!H10</f>
        <v>0.0275265085264538</v>
      </c>
      <c r="I10" s="17" t="n">
        <f aca="false">(Raw_Prices!I11-Raw_Prices!I10)/Raw_Prices!I10</f>
        <v>0.0216186252771618</v>
      </c>
      <c r="J10" s="17" t="n">
        <f aca="false">(Raw_Prices!J11-Raw_Prices!J10)/Raw_Prices!J10</f>
        <v>0.00897790055248612</v>
      </c>
      <c r="K10" s="17" t="n">
        <f aca="false">(Raw_Prices!K11-Raw_Prices!K10)/Raw_Prices!K10</f>
        <v>0.0082474427099018</v>
      </c>
      <c r="L10" s="17" t="n">
        <f aca="false">B10*Portfolio_Holdings!$K$4+C10*Portfolio_Holdings!$K$5+D10*Portfolio_Holdings!$K$6+E10*Portfolio_Holdings!$K$7+F10*Portfolio_Holdings!$K$8+G10*Portfolio_Holdings!$K$9+H10*Portfolio_Holdings!$K$10+I10*Portfolio_Holdings!$K$11+J10*Portfolio_Holdings!$K$12+K10*Portfolio_Holdings!$K$13</f>
        <v>0.0268823962290359</v>
      </c>
      <c r="M10" s="17" t="n">
        <f aca="false">(Raw_Prices!L11-Raw_Prices!L10)/Raw_Prices!L10</f>
        <v>-0.00999767495931184</v>
      </c>
    </row>
    <row r="11" customFormat="false" ht="15" hidden="false" customHeight="false" outlineLevel="0" collapsed="false">
      <c r="A11" s="16" t="str">
        <f aca="false">Raw_Prices!A12</f>
        <v>2024-09-30</v>
      </c>
      <c r="B11" s="17" t="n">
        <f aca="false">(Raw_Prices!B12-Raw_Prices!B11)/Raw_Prices!B11</f>
        <v>0.0542091420870738</v>
      </c>
      <c r="C11" s="17" t="n">
        <f aca="false">(Raw_Prices!C12-Raw_Prices!C11)/Raw_Prices!C11</f>
        <v>0.102614827319406</v>
      </c>
      <c r="D11" s="17" t="n">
        <f aca="false">(Raw_Prices!D12-Raw_Prices!D11)/Raw_Prices!D11</f>
        <v>0.101815505880177</v>
      </c>
      <c r="E11" s="17" t="n">
        <f aca="false">(Raw_Prices!E12-Raw_Prices!E11)/Raw_Prices!E11</f>
        <v>-0.0844063035201636</v>
      </c>
      <c r="F11" s="17" t="n">
        <f aca="false">(Raw_Prices!F12-Raw_Prices!F11)/Raw_Prices!F11</f>
        <v>-0.0327152234372702</v>
      </c>
      <c r="G11" s="17" t="n">
        <f aca="false">(Raw_Prices!G12-Raw_Prices!G11)/Raw_Prices!G11</f>
        <v>-0.0146619039707593</v>
      </c>
      <c r="H11" s="17" t="n">
        <f aca="false">(Raw_Prices!H12-Raw_Prices!H11)/Raw_Prices!H11</f>
        <v>0.0330924154072222</v>
      </c>
      <c r="I11" s="17" t="n">
        <f aca="false">(Raw_Prices!I12-Raw_Prices!I11)/Raw_Prices!I11</f>
        <v>0.0447431028006177</v>
      </c>
      <c r="J11" s="17" t="n">
        <f aca="false">(Raw_Prices!J12-Raw_Prices!J11)/Raw_Prices!J11</f>
        <v>-0.033025325119781</v>
      </c>
      <c r="K11" s="17" t="n">
        <f aca="false">(Raw_Prices!K12-Raw_Prices!K11)/Raw_Prices!K11</f>
        <v>-0.000953849118412187</v>
      </c>
      <c r="L11" s="17" t="n">
        <f aca="false">B11*Portfolio_Holdings!$K$4+C11*Portfolio_Holdings!$K$5+D11*Portfolio_Holdings!$K$6+E11*Portfolio_Holdings!$K$7+F11*Portfolio_Holdings!$K$8+G11*Portfolio_Holdings!$K$9+H11*Portfolio_Holdings!$K$10+I11*Portfolio_Holdings!$K$11+J11*Portfolio_Holdings!$K$12+K11*Portfolio_Holdings!$K$13</f>
        <v>0.0162025052788891</v>
      </c>
      <c r="M11" s="17" t="n">
        <f aca="false">(Raw_Prices!L12-Raw_Prices!L11)/Raw_Prices!L11</f>
        <v>-0.0171332758036855</v>
      </c>
    </row>
    <row r="12" customFormat="false" ht="15" hidden="false" customHeight="false" outlineLevel="0" collapsed="false">
      <c r="A12" s="16" t="str">
        <f aca="false">Raw_Prices!A13</f>
        <v>2024-10-31</v>
      </c>
      <c r="B12" s="17" t="n">
        <f aca="false">(Raw_Prices!B13-Raw_Prices!B12)/Raw_Prices!B12</f>
        <v>-0.0138200390566321</v>
      </c>
      <c r="C12" s="17" t="n">
        <f aca="false">(Raw_Prices!C13-Raw_Prices!C12)/Raw_Prices!C12</f>
        <v>0.00932430672397339</v>
      </c>
      <c r="D12" s="17" t="n">
        <f aca="false">(Raw_Prices!D13-Raw_Prices!D12)/Raw_Prices!D12</f>
        <v>-0.05752894304965</v>
      </c>
      <c r="E12" s="17" t="n">
        <f aca="false">(Raw_Prices!E13-Raw_Prices!E12)/Raw_Prices!E12</f>
        <v>0.000457539647829084</v>
      </c>
      <c r="F12" s="17" t="n">
        <f aca="false">(Raw_Prices!F13-Raw_Prices!F12)/Raw_Prices!F12</f>
        <v>0.000615598542841972</v>
      </c>
      <c r="G12" s="17" t="n">
        <f aca="false">(Raw_Prices!G13-Raw_Prices!G12)/Raw_Prices!G12</f>
        <v>0.0119925810394975</v>
      </c>
      <c r="H12" s="17" t="n">
        <f aca="false">(Raw_Prices!H13-Raw_Prices!H12)/Raw_Prices!H12</f>
        <v>-0.0264394300204667</v>
      </c>
      <c r="I12" s="17" t="n">
        <f aca="false">(Raw_Prices!I13-Raw_Prices!I12)/Raw_Prices!I12</f>
        <v>0.0105469218169469</v>
      </c>
      <c r="J12" s="17" t="n">
        <f aca="false">(Raw_Prices!J13-Raw_Prices!J12)/Raw_Prices!J12</f>
        <v>0.019465581313042</v>
      </c>
      <c r="K12" s="17" t="n">
        <f aca="false">(Raw_Prices!K13-Raw_Prices!K12)/Raw_Prices!K12</f>
        <v>0.00361651445159175</v>
      </c>
      <c r="L12" s="17" t="n">
        <f aca="false">B12*Portfolio_Holdings!$K$4+C12*Portfolio_Holdings!$K$5+D12*Portfolio_Holdings!$K$6+E12*Portfolio_Holdings!$K$7+F12*Portfolio_Holdings!$K$8+G12*Portfolio_Holdings!$K$9+H12*Portfolio_Holdings!$K$10+I12*Portfolio_Holdings!$K$11+J12*Portfolio_Holdings!$K$12+K12*Portfolio_Holdings!$K$13</f>
        <v>-0.00519982684750817</v>
      </c>
      <c r="M12" s="17" t="n">
        <f aca="false">(Raw_Prices!L13-Raw_Prices!L12)/Raw_Prices!L12</f>
        <v>0.0796180939520737</v>
      </c>
    </row>
    <row r="13" customFormat="false" ht="15" hidden="false" customHeight="false" outlineLevel="0" collapsed="false">
      <c r="A13" s="16" t="str">
        <f aca="false">Raw_Prices!A14</f>
        <v>2024-11-30</v>
      </c>
      <c r="B13" s="17" t="n">
        <f aca="false">(Raw_Prices!B14-Raw_Prices!B13)/Raw_Prices!B13</f>
        <v>0.0418410166808535</v>
      </c>
      <c r="C13" s="17" t="n">
        <f aca="false">(Raw_Prices!C14-Raw_Prices!C13)/Raw_Prices!C13</f>
        <v>-0.0428858475386394</v>
      </c>
      <c r="D13" s="17" t="n">
        <f aca="false">(Raw_Prices!D14-Raw_Prices!D13)/Raw_Prices!D13</f>
        <v>-0.0098282565692241</v>
      </c>
      <c r="E13" s="17" t="n">
        <f aca="false">(Raw_Prices!E14-Raw_Prices!E13)/Raw_Prices!E13</f>
        <v>0.0281392705580103</v>
      </c>
      <c r="F13" s="17" t="n">
        <f aca="false">(Raw_Prices!F14-Raw_Prices!F13)/Raw_Prices!F13</f>
        <v>0.0300082511833934</v>
      </c>
      <c r="G13" s="17" t="n">
        <f aca="false">(Raw_Prices!G14-Raw_Prices!G13)/Raw_Prices!G13</f>
        <v>-0.0121420389461626</v>
      </c>
      <c r="H13" s="17" t="n">
        <f aca="false">(Raw_Prices!H14-Raw_Prices!H13)/Raw_Prices!H13</f>
        <v>0.0264699271482025</v>
      </c>
      <c r="I13" s="17" t="n">
        <f aca="false">(Raw_Prices!I14-Raw_Prices!I13)/Raw_Prices!I13</f>
        <v>0.0710417078474008</v>
      </c>
      <c r="J13" s="17" t="n">
        <f aca="false">(Raw_Prices!J14-Raw_Prices!J13)/Raw_Prices!J13</f>
        <v>0.0265578892553376</v>
      </c>
      <c r="K13" s="17" t="n">
        <f aca="false">(Raw_Prices!K14-Raw_Prices!K13)/Raw_Prices!K13</f>
        <v>0.00985912786116502</v>
      </c>
      <c r="L13" s="17" t="n">
        <f aca="false">B13*Portfolio_Holdings!$K$4+C13*Portfolio_Holdings!$K$5+D13*Portfolio_Holdings!$K$6+E13*Portfolio_Holdings!$K$7+F13*Portfolio_Holdings!$K$8+G13*Portfolio_Holdings!$K$9+H13*Portfolio_Holdings!$K$10+I13*Portfolio_Holdings!$K$11+J13*Portfolio_Holdings!$K$12+K13*Portfolio_Holdings!$K$13</f>
        <v>0.0208478262642535</v>
      </c>
      <c r="M13" s="17" t="n">
        <f aca="false">(Raw_Prices!L14-Raw_Prices!L13)/Raw_Prices!L13</f>
        <v>0.025199256418197</v>
      </c>
    </row>
    <row r="14" customFormat="false" ht="15" hidden="false" customHeight="false" outlineLevel="0" collapsed="false">
      <c r="A14" s="16" t="str">
        <f aca="false">Raw_Prices!A15</f>
        <v>2024-12-31</v>
      </c>
      <c r="B14" s="17" t="n">
        <f aca="false">(Raw_Prices!B15-Raw_Prices!B14)/Raw_Prices!B14</f>
        <v>-0.0134881774189849</v>
      </c>
      <c r="C14" s="17" t="n">
        <f aca="false">(Raw_Prices!C15-Raw_Prices!C14)/Raw_Prices!C14</f>
        <v>0.0511275464720838</v>
      </c>
      <c r="D14" s="17" t="n">
        <f aca="false">(Raw_Prices!D15-Raw_Prices!D14)/Raw_Prices!D14</f>
        <v>0.0478130495601604</v>
      </c>
      <c r="E14" s="17" t="n">
        <f aca="false">(Raw_Prices!E15-Raw_Prices!E14)/Raw_Prices!E14</f>
        <v>0.0819372943554454</v>
      </c>
      <c r="F14" s="17" t="n">
        <f aca="false">(Raw_Prices!F15-Raw_Prices!F14)/Raw_Prices!F14</f>
        <v>0.107084633330523</v>
      </c>
      <c r="G14" s="17" t="n">
        <f aca="false">(Raw_Prices!G15-Raw_Prices!G14)/Raw_Prices!G14</f>
        <v>-0.0540352504638219</v>
      </c>
      <c r="H14" s="17" t="n">
        <f aca="false">(Raw_Prices!H15-Raw_Prices!H14)/Raw_Prices!H14</f>
        <v>0.0299993559605847</v>
      </c>
      <c r="I14" s="17" t="n">
        <f aca="false">(Raw_Prices!I15-Raw_Prices!I14)/Raw_Prices!I14</f>
        <v>-0.0011073379595453</v>
      </c>
      <c r="J14" s="17" t="n">
        <f aca="false">(Raw_Prices!J15-Raw_Prices!J14)/Raw_Prices!J14</f>
        <v>0.0449780182617517</v>
      </c>
      <c r="K14" s="17" t="n">
        <f aca="false">(Raw_Prices!K15-Raw_Prices!K14)/Raw_Prices!K14</f>
        <v>0.00575686065542568</v>
      </c>
      <c r="L14" s="17" t="n">
        <f aca="false">B14*Portfolio_Holdings!$K$4+C14*Portfolio_Holdings!$K$5+D14*Portfolio_Holdings!$K$6+E14*Portfolio_Holdings!$K$7+F14*Portfolio_Holdings!$K$8+G14*Portfolio_Holdings!$K$9+H14*Portfolio_Holdings!$K$10+I14*Portfolio_Holdings!$K$11+J14*Portfolio_Holdings!$K$12+K14*Portfolio_Holdings!$K$13</f>
        <v>0.0323573768951045</v>
      </c>
      <c r="M14" s="17" t="n">
        <f aca="false">(Raw_Prices!L15-Raw_Prices!L14)/Raw_Prices!L14</f>
        <v>-0.0414351627165956</v>
      </c>
    </row>
    <row r="15" customFormat="false" ht="15" hidden="false" customHeight="false" outlineLevel="0" collapsed="false">
      <c r="A15" s="16" t="str">
        <f aca="false">Raw_Prices!A16</f>
        <v>2025-01-31</v>
      </c>
      <c r="B15" s="17" t="n">
        <f aca="false">(Raw_Prices!B16-Raw_Prices!B15)/Raw_Prices!B15</f>
        <v>-0.0136144763875287</v>
      </c>
      <c r="C15" s="17" t="n">
        <f aca="false">(Raw_Prices!C16-Raw_Prices!C15)/Raw_Prices!C15</f>
        <v>-0.0510410286210887</v>
      </c>
      <c r="D15" s="17" t="n">
        <f aca="false">(Raw_Prices!D16-Raw_Prices!D15)/Raw_Prices!D15</f>
        <v>0.105799697934302</v>
      </c>
      <c r="E15" s="17" t="n">
        <f aca="false">(Raw_Prices!E16-Raw_Prices!E15)/Raw_Prices!E15</f>
        <v>-0.0138755373369851</v>
      </c>
      <c r="F15" s="17" t="n">
        <f aca="false">(Raw_Prices!F16-Raw_Prices!F15)/Raw_Prices!F15</f>
        <v>0.0180771452328512</v>
      </c>
      <c r="G15" s="17" t="n">
        <f aca="false">(Raw_Prices!G16-Raw_Prices!G15)/Raw_Prices!G15</f>
        <v>0.0107423833827364</v>
      </c>
      <c r="H15" s="17" t="n">
        <f aca="false">(Raw_Prices!H16-Raw_Prices!H15)/Raw_Prices!H15</f>
        <v>-0.0284315441948877</v>
      </c>
      <c r="I15" s="17" t="n">
        <f aca="false">(Raw_Prices!I16-Raw_Prices!I15)/Raw_Prices!I15</f>
        <v>0.124233242184613</v>
      </c>
      <c r="J15" s="17" t="n">
        <f aca="false">(Raw_Prices!J16-Raw_Prices!J15)/Raw_Prices!J15</f>
        <v>0.0438511326860843</v>
      </c>
      <c r="K15" s="17" t="n">
        <f aca="false">(Raw_Prices!K16-Raw_Prices!K15)/Raw_Prices!K15</f>
        <v>0.00119208681419529</v>
      </c>
      <c r="L15" s="17" t="n">
        <f aca="false">B15*Portfolio_Holdings!$K$4+C15*Portfolio_Holdings!$K$5+D15*Portfolio_Holdings!$K$6+E15*Portfolio_Holdings!$K$7+F15*Portfolio_Holdings!$K$8+G15*Portfolio_Holdings!$K$9+H15*Portfolio_Holdings!$K$10+I15*Portfolio_Holdings!$K$11+J15*Portfolio_Holdings!$K$12+K15*Portfolio_Holdings!$K$13</f>
        <v>0.0252175546612929</v>
      </c>
      <c r="M15" s="17" t="n">
        <f aca="false">(Raw_Prices!L16-Raw_Prices!L15)/Raw_Prices!L15</f>
        <v>0.0457145401114121</v>
      </c>
    </row>
    <row r="16" customFormat="false" ht="15" hidden="false" customHeight="false" outlineLevel="0" collapsed="false">
      <c r="A16" s="16" t="str">
        <f aca="false">Raw_Prices!A17</f>
        <v>2025-02-28</v>
      </c>
      <c r="B16" s="17" t="n">
        <f aca="false">(Raw_Prices!B17-Raw_Prices!B16)/Raw_Prices!B16</f>
        <v>0.0253068343183063</v>
      </c>
      <c r="C16" s="17" t="n">
        <f aca="false">(Raw_Prices!C17-Raw_Prices!C16)/Raw_Prices!C16</f>
        <v>0.0204426153086529</v>
      </c>
      <c r="D16" s="17" t="n">
        <f aca="false">(Raw_Prices!D17-Raw_Prices!D16)/Raw_Prices!D16</f>
        <v>-0.025124897810882</v>
      </c>
      <c r="E16" s="17" t="n">
        <f aca="false">(Raw_Prices!E17-Raw_Prices!E16)/Raw_Prices!E16</f>
        <v>-0.02781047675103</v>
      </c>
      <c r="F16" s="17" t="n">
        <f aca="false">(Raw_Prices!F17-Raw_Prices!F16)/Raw_Prices!F16</f>
        <v>0.0223947130521524</v>
      </c>
      <c r="G16" s="17" t="n">
        <f aca="false">(Raw_Prices!G17-Raw_Prices!G16)/Raw_Prices!G16</f>
        <v>-0.034486560384556</v>
      </c>
      <c r="H16" s="17" t="n">
        <f aca="false">(Raw_Prices!H17-Raw_Prices!H16)/Raw_Prices!H16</f>
        <v>0.121211731164042</v>
      </c>
      <c r="I16" s="17" t="n">
        <f aca="false">(Raw_Prices!I17-Raw_Prices!I16)/Raw_Prices!I16</f>
        <v>0.0362871417302129</v>
      </c>
      <c r="J16" s="17" t="n">
        <f aca="false">(Raw_Prices!J17-Raw_Prices!J16)/Raw_Prices!J16</f>
        <v>-0.0412339172221362</v>
      </c>
      <c r="K16" s="17" t="n">
        <f aca="false">(Raw_Prices!K17-Raw_Prices!K16)/Raw_Prices!K16</f>
        <v>0.00263647789232961</v>
      </c>
      <c r="L16" s="17" t="n">
        <f aca="false">B16*Portfolio_Holdings!$K$4+C16*Portfolio_Holdings!$K$5+D16*Portfolio_Holdings!$K$6+E16*Portfolio_Holdings!$K$7+F16*Portfolio_Holdings!$K$8+G16*Portfolio_Holdings!$K$9+H16*Portfolio_Holdings!$K$10+I16*Portfolio_Holdings!$K$11+J16*Portfolio_Holdings!$K$12+K16*Portfolio_Holdings!$K$13</f>
        <v>0.0115074055481384</v>
      </c>
      <c r="M16" s="17" t="n">
        <f aca="false">(Raw_Prices!L17-Raw_Prices!L16)/Raw_Prices!L16</f>
        <v>0.0938861849291428</v>
      </c>
    </row>
    <row r="17" customFormat="false" ht="15" hidden="false" customHeight="false" outlineLevel="0" collapsed="false">
      <c r="A17" s="16" t="str">
        <f aca="false">Raw_Prices!A18</f>
        <v>2025-03-31</v>
      </c>
      <c r="B17" s="17" t="n">
        <f aca="false">(Raw_Prices!B18-Raw_Prices!B17)/Raw_Prices!B17</f>
        <v>-0.0932292025837297</v>
      </c>
      <c r="C17" s="17" t="n">
        <f aca="false">(Raw_Prices!C18-Raw_Prices!C17)/Raw_Prices!C17</f>
        <v>-0.0879823105493353</v>
      </c>
      <c r="D17" s="17" t="n">
        <f aca="false">(Raw_Prices!D18-Raw_Prices!D17)/Raw_Prices!D17</f>
        <v>0.00129090841326686</v>
      </c>
      <c r="E17" s="17" t="n">
        <f aca="false">(Raw_Prices!E18-Raw_Prices!E17)/Raw_Prices!E17</f>
        <v>-0.0130858685232834</v>
      </c>
      <c r="F17" s="17" t="n">
        <f aca="false">(Raw_Prices!F18-Raw_Prices!F17)/Raw_Prices!F17</f>
        <v>0.00512845530438393</v>
      </c>
      <c r="G17" s="17" t="n">
        <f aca="false">(Raw_Prices!G18-Raw_Prices!G17)/Raw_Prices!G17</f>
        <v>0.0269486377235253</v>
      </c>
      <c r="H17" s="17" t="n">
        <f aca="false">(Raw_Prices!H18-Raw_Prices!H17)/Raw_Prices!H17</f>
        <v>0.0404844588583072</v>
      </c>
      <c r="I17" s="17" t="n">
        <f aca="false">(Raw_Prices!I18-Raw_Prices!I17)/Raw_Prices!I17</f>
        <v>-0.0260086272519665</v>
      </c>
      <c r="J17" s="17" t="n">
        <f aca="false">(Raw_Prices!J18-Raw_Prices!J17)/Raw_Prices!J17</f>
        <v>-0.0258690379951496</v>
      </c>
      <c r="K17" s="17" t="n">
        <f aca="false">(Raw_Prices!K18-Raw_Prices!K17)/Raw_Prices!K17</f>
        <v>0.00821850671994875</v>
      </c>
      <c r="L17" s="17" t="n">
        <f aca="false">B17*Portfolio_Holdings!$K$4+C17*Portfolio_Holdings!$K$5+D17*Portfolio_Holdings!$K$6+E17*Portfolio_Holdings!$K$7+F17*Portfolio_Holdings!$K$8+G17*Portfolio_Holdings!$K$9+H17*Portfolio_Holdings!$K$10+I17*Portfolio_Holdings!$K$11+J17*Portfolio_Holdings!$K$12+K17*Portfolio_Holdings!$K$13</f>
        <v>-0.015541539143156</v>
      </c>
      <c r="M17" s="17" t="n">
        <f aca="false">(Raw_Prices!L18-Raw_Prices!L17)/Raw_Prices!L17</f>
        <v>0.0502986101996025</v>
      </c>
    </row>
    <row r="18" customFormat="false" ht="15" hidden="false" customHeight="false" outlineLevel="0" collapsed="false">
      <c r="A18" s="16" t="str">
        <f aca="false">Raw_Prices!A19</f>
        <v>2025-04-30</v>
      </c>
      <c r="B18" s="17" t="n">
        <f aca="false">(Raw_Prices!B19-Raw_Prices!B18)/Raw_Prices!B18</f>
        <v>-0.0828701620518541</v>
      </c>
      <c r="C18" s="17" t="n">
        <f aca="false">(Raw_Prices!C19-Raw_Prices!C18)/Raw_Prices!C18</f>
        <v>-0.0564094964284656</v>
      </c>
      <c r="D18" s="17" t="n">
        <f aca="false">(Raw_Prices!D19-Raw_Prices!D18)/Raw_Prices!D18</f>
        <v>-0.0815709151941311</v>
      </c>
      <c r="E18" s="17" t="n">
        <f aca="false">(Raw_Prices!E19-Raw_Prices!E18)/Raw_Prices!E18</f>
        <v>0.0549417545832721</v>
      </c>
      <c r="F18" s="17" t="n">
        <f aca="false">(Raw_Prices!F19-Raw_Prices!F18)/Raw_Prices!F18</f>
        <v>-0.0907734122843206</v>
      </c>
      <c r="G18" s="17" t="n">
        <f aca="false">(Raw_Prices!G19-Raw_Prices!G18)/Raw_Prices!G18</f>
        <v>-0.0287766584384104</v>
      </c>
      <c r="H18" s="17" t="n">
        <f aca="false">(Raw_Prices!H19-Raw_Prices!H18)/Raw_Prices!H18</f>
        <v>-0.0560937396561997</v>
      </c>
      <c r="I18" s="17" t="n">
        <f aca="false">(Raw_Prices!I19-Raw_Prices!I18)/Raw_Prices!I18</f>
        <v>-0.0349745994529113</v>
      </c>
      <c r="J18" s="17" t="n">
        <f aca="false">(Raw_Prices!J19-Raw_Prices!J18)/Raw_Prices!J18</f>
        <v>0.0250622406639004</v>
      </c>
      <c r="K18" s="17" t="n">
        <f aca="false">(Raw_Prices!K19-Raw_Prices!K18)/Raw_Prices!K18</f>
        <v>0.00258006618430646</v>
      </c>
      <c r="L18" s="17" t="n">
        <f aca="false">B18*Portfolio_Holdings!$K$4+C18*Portfolio_Holdings!$K$5+D18*Portfolio_Holdings!$K$6+E18*Portfolio_Holdings!$K$7+F18*Portfolio_Holdings!$K$8+G18*Portfolio_Holdings!$K$9+H18*Portfolio_Holdings!$K$10+I18*Portfolio_Holdings!$K$11+J18*Portfolio_Holdings!$K$12+K18*Portfolio_Holdings!$K$13</f>
        <v>-0.0342941825986887</v>
      </c>
      <c r="M18" s="17" t="n">
        <f aca="false">(Raw_Prices!L19-Raw_Prices!L18)/Raw_Prices!L18</f>
        <v>-0.051774829245184</v>
      </c>
    </row>
    <row r="19" customFormat="false" ht="15" hidden="false" customHeight="false" outlineLevel="0" collapsed="false">
      <c r="A19" s="16" t="str">
        <f aca="false">Raw_Prices!A20</f>
        <v>2025-05-31</v>
      </c>
      <c r="B19" s="17" t="n">
        <f aca="false">(Raw_Prices!B20-Raw_Prices!B19)/Raw_Prices!B19</f>
        <v>-0.0189271178124979</v>
      </c>
      <c r="C19" s="17" t="n">
        <f aca="false">(Raw_Prices!C20-Raw_Prices!C19)/Raw_Prices!C19</f>
        <v>0.019842441528091</v>
      </c>
      <c r="D19" s="17" t="n">
        <f aca="false">(Raw_Prices!D20-Raw_Prices!D19)/Raw_Prices!D19</f>
        <v>-0.0896594158045214</v>
      </c>
      <c r="E19" s="17" t="n">
        <f aca="false">(Raw_Prices!E20-Raw_Prices!E19)/Raw_Prices!E19</f>
        <v>0.0267791702757872</v>
      </c>
      <c r="F19" s="17" t="n">
        <f aca="false">(Raw_Prices!F20-Raw_Prices!F19)/Raw_Prices!F19</f>
        <v>0.00762014065898859</v>
      </c>
      <c r="G19" s="17" t="n">
        <f aca="false">(Raw_Prices!G20-Raw_Prices!G19)/Raw_Prices!G19</f>
        <v>0.0699974812813409</v>
      </c>
      <c r="H19" s="17" t="n">
        <f aca="false">(Raw_Prices!H20-Raw_Prices!H19)/Raw_Prices!H19</f>
        <v>0.0510812390414963</v>
      </c>
      <c r="I19" s="17" t="n">
        <f aca="false">(Raw_Prices!I20-Raw_Prices!I19)/Raw_Prices!I19</f>
        <v>0.0302692852804212</v>
      </c>
      <c r="J19" s="17" t="n">
        <f aca="false">(Raw_Prices!J20-Raw_Prices!J19)/Raw_Prices!J19</f>
        <v>0.0249352331606218</v>
      </c>
      <c r="K19" s="17" t="n">
        <f aca="false">(Raw_Prices!K20-Raw_Prices!K19)/Raw_Prices!K19</f>
        <v>0.0063682983682983</v>
      </c>
      <c r="L19" s="17" t="n">
        <f aca="false">B19*Portfolio_Holdings!$K$4+C19*Portfolio_Holdings!$K$5+D19*Portfolio_Holdings!$K$6+E19*Portfolio_Holdings!$K$7+F19*Portfolio_Holdings!$K$8+G19*Portfolio_Holdings!$K$9+H19*Portfolio_Holdings!$K$10+I19*Portfolio_Holdings!$K$11+J19*Portfolio_Holdings!$K$12+K19*Portfolio_Holdings!$K$13</f>
        <v>0.0108500649746672</v>
      </c>
      <c r="M19" s="17" t="n">
        <f aca="false">(Raw_Prices!L20-Raw_Prices!L19)/Raw_Prices!L19</f>
        <v>-0.0103692788897342</v>
      </c>
    </row>
    <row r="20" customFormat="false" ht="15" hidden="false" customHeight="false" outlineLevel="0" collapsed="false">
      <c r="A20" s="16" t="str">
        <f aca="false">Raw_Prices!A21</f>
        <v>2025-06-30</v>
      </c>
      <c r="B20" s="17" t="n">
        <f aca="false">(Raw_Prices!B21-Raw_Prices!B20)/Raw_Prices!B20</f>
        <v>-0.043705185456492</v>
      </c>
      <c r="C20" s="17" t="n">
        <f aca="false">(Raw_Prices!C21-Raw_Prices!C20)/Raw_Prices!C20</f>
        <v>0.0469238469238469</v>
      </c>
      <c r="D20" s="17" t="n">
        <f aca="false">(Raw_Prices!D21-Raw_Prices!D20)/Raw_Prices!D20</f>
        <v>0.0911280106523771</v>
      </c>
      <c r="E20" s="17" t="n">
        <f aca="false">(Raw_Prices!E21-Raw_Prices!E20)/Raw_Prices!E20</f>
        <v>-0.0144296568974467</v>
      </c>
      <c r="F20" s="17" t="n">
        <f aca="false">(Raw_Prices!F21-Raw_Prices!F20)/Raw_Prices!F20</f>
        <v>0.0121318075863532</v>
      </c>
      <c r="G20" s="17" t="n">
        <f aca="false">(Raw_Prices!G21-Raw_Prices!G20)/Raw_Prices!G20</f>
        <v>-0.0233254868392896</v>
      </c>
      <c r="H20" s="17" t="n">
        <f aca="false">(Raw_Prices!H21-Raw_Prices!H20)/Raw_Prices!H20</f>
        <v>-0.0435331405693951</v>
      </c>
      <c r="I20" s="17" t="n">
        <f aca="false">(Raw_Prices!I21-Raw_Prices!I20)/Raw_Prices!I20</f>
        <v>0.000622318299433355</v>
      </c>
      <c r="J20" s="17" t="n">
        <f aca="false">(Raw_Prices!J21-Raw_Prices!J20)/Raw_Prices!J20</f>
        <v>0.0249605055292259</v>
      </c>
      <c r="K20" s="17" t="n">
        <f aca="false">(Raw_Prices!K21-Raw_Prices!K20)/Raw_Prices!K20</f>
        <v>0.00567944928798431</v>
      </c>
      <c r="L20" s="17" t="n">
        <f aca="false">B20*Portfolio_Holdings!$K$4+C20*Portfolio_Holdings!$K$5+D20*Portfolio_Holdings!$K$6+E20*Portfolio_Holdings!$K$7+F20*Portfolio_Holdings!$K$8+G20*Portfolio_Holdings!$K$9+H20*Portfolio_Holdings!$K$10+I20*Portfolio_Holdings!$K$11+J20*Portfolio_Holdings!$K$12+K20*Portfolio_Holdings!$K$13</f>
        <v>0.00594338519938295</v>
      </c>
      <c r="M20" s="17" t="n">
        <f aca="false">(Raw_Prices!L21-Raw_Prices!L20)/Raw_Prices!L20</f>
        <v>0.0596763747029188</v>
      </c>
    </row>
    <row r="21" customFormat="false" ht="15" hidden="false" customHeight="false" outlineLevel="0" collapsed="false">
      <c r="A21" s="16" t="str">
        <f aca="false">Raw_Prices!A22</f>
        <v>2025-07-31</v>
      </c>
      <c r="B21" s="17" t="n">
        <f aca="false">(Raw_Prices!B22-Raw_Prices!B21)/Raw_Prices!B21</f>
        <v>0.0292850356119585</v>
      </c>
      <c r="C21" s="17" t="n">
        <f aca="false">(Raw_Prices!C22-Raw_Prices!C21)/Raw_Prices!C21</f>
        <v>0.0185696213703627</v>
      </c>
      <c r="D21" s="17" t="n">
        <f aca="false">(Raw_Prices!D22-Raw_Prices!D21)/Raw_Prices!D21</f>
        <v>0.140060905722245</v>
      </c>
      <c r="E21" s="17" t="n">
        <f aca="false">(Raw_Prices!E22-Raw_Prices!E21)/Raw_Prices!E21</f>
        <v>0.0356386098907019</v>
      </c>
      <c r="F21" s="17" t="n">
        <f aca="false">(Raw_Prices!F22-Raw_Prices!F21)/Raw_Prices!F21</f>
        <v>0.137091075634651</v>
      </c>
      <c r="G21" s="17" t="n">
        <f aca="false">(Raw_Prices!G22-Raw_Prices!G21)/Raw_Prices!G21</f>
        <v>-0.00488606485538992</v>
      </c>
      <c r="H21" s="17" t="n">
        <f aca="false">(Raw_Prices!H22-Raw_Prices!H21)/Raw_Prices!H21</f>
        <v>0.0586532256658005</v>
      </c>
      <c r="I21" s="17" t="n">
        <f aca="false">(Raw_Prices!I22-Raw_Prices!I21)/Raw_Prices!I21</f>
        <v>0.0400000000000001</v>
      </c>
      <c r="J21" s="17" t="n">
        <f aca="false">(Raw_Prices!J22-Raw_Prices!J21)/Raw_Prices!J21</f>
        <v>0.141800246609125</v>
      </c>
      <c r="K21" s="17" t="n">
        <f aca="false">(Raw_Prices!K22-Raw_Prices!K21)/Raw_Prices!K21</f>
        <v>0.00289278278333598</v>
      </c>
      <c r="L21" s="17" t="n">
        <f aca="false">B21*Portfolio_Holdings!$K$4+C21*Portfolio_Holdings!$K$5+D21*Portfolio_Holdings!$K$6+E21*Portfolio_Holdings!$K$7+F21*Portfolio_Holdings!$K$8+G21*Portfolio_Holdings!$K$9+H21*Portfolio_Holdings!$K$10+I21*Portfolio_Holdings!$K$11+J21*Portfolio_Holdings!$K$12+K21*Portfolio_Holdings!$K$13</f>
        <v>0.0657955903389338</v>
      </c>
      <c r="M21" s="17" t="n">
        <f aca="false">(Raw_Prices!L22-Raw_Prices!L21)/Raw_Prices!L21</f>
        <v>-0.0193066188902804</v>
      </c>
    </row>
    <row r="22" customFormat="false" ht="15" hidden="false" customHeight="false" outlineLevel="0" collapsed="false">
      <c r="A22" s="16" t="str">
        <f aca="false">Raw_Prices!A23</f>
        <v>2025-08-31</v>
      </c>
      <c r="B22" s="17" t="n">
        <f aca="false">(Raw_Prices!B23-Raw_Prices!B22)/Raw_Prices!B22</f>
        <v>-0.0379405345450642</v>
      </c>
      <c r="C22" s="17" t="n">
        <f aca="false">(Raw_Prices!C23-Raw_Prices!C22)/Raw_Prices!C22</f>
        <v>0.0042169475076686</v>
      </c>
      <c r="D22" s="17" t="n">
        <f aca="false">(Raw_Prices!D23-Raw_Prices!D22)/Raw_Prices!D22</f>
        <v>0.0115191780242518</v>
      </c>
      <c r="E22" s="17" t="n">
        <f aca="false">(Raw_Prices!E23-Raw_Prices!E22)/Raw_Prices!E22</f>
        <v>0.0156571494624898</v>
      </c>
      <c r="F22" s="17" t="n">
        <f aca="false">(Raw_Prices!F23-Raw_Prices!F22)/Raw_Prices!F22</f>
        <v>-0.00100119107213755</v>
      </c>
      <c r="G22" s="17" t="n">
        <f aca="false">(Raw_Prices!G23-Raw_Prices!G22)/Raw_Prices!G22</f>
        <v>0.0405354823083867</v>
      </c>
      <c r="H22" s="17" t="n">
        <f aca="false">(Raw_Prices!H23-Raw_Prices!H22)/Raw_Prices!H22</f>
        <v>0.0801976935749588</v>
      </c>
      <c r="I22" s="17" t="n">
        <f aca="false">(Raw_Prices!I23-Raw_Prices!I22)/Raw_Prices!I22</f>
        <v>0.0298690671031095</v>
      </c>
      <c r="J22" s="17" t="n">
        <f aca="false">(Raw_Prices!J23-Raw_Prices!J22)/Raw_Prices!J22</f>
        <v>0.0269978401727862</v>
      </c>
      <c r="K22" s="17" t="n">
        <f aca="false">(Raw_Prices!K23-Raw_Prices!K22)/Raw_Prices!K22</f>
        <v>0.0140731214403823</v>
      </c>
      <c r="L22" s="17" t="n">
        <f aca="false">B22*Portfolio_Holdings!$K$4+C22*Portfolio_Holdings!$K$5+D22*Portfolio_Holdings!$K$6+E22*Portfolio_Holdings!$K$7+F22*Portfolio_Holdings!$K$8+G22*Portfolio_Holdings!$K$9+H22*Portfolio_Holdings!$K$10+I22*Portfolio_Holdings!$K$11+J22*Portfolio_Holdings!$K$12+K22*Portfolio_Holdings!$K$13</f>
        <v>0.0191534238811695</v>
      </c>
      <c r="M22" s="17" t="n">
        <f aca="false">(Raw_Prices!L23-Raw_Prices!L22)/Raw_Prices!L22</f>
        <v>0.0267528451952987</v>
      </c>
    </row>
    <row r="23" customFormat="false" ht="15" hidden="false" customHeight="false" outlineLevel="0" collapsed="false">
      <c r="A23" s="16" t="str">
        <f aca="false">Raw_Prices!A24</f>
        <v>2025-09-30</v>
      </c>
      <c r="B23" s="17" t="n">
        <f aca="false">(Raw_Prices!B24-Raw_Prices!B23)/Raw_Prices!B23</f>
        <v>-0.0656783915860253</v>
      </c>
      <c r="C23" s="17" t="n">
        <f aca="false">(Raw_Prices!C24-Raw_Prices!C23)/Raw_Prices!C23</f>
        <v>-0.00505634459074683</v>
      </c>
      <c r="D23" s="17" t="n">
        <f aca="false">(Raw_Prices!D24-Raw_Prices!D23)/Raw_Prices!D23</f>
        <v>0.108318658078627</v>
      </c>
      <c r="E23" s="17" t="n">
        <f aca="false">(Raw_Prices!E24-Raw_Prices!E23)/Raw_Prices!E23</f>
        <v>0.0574976241826904</v>
      </c>
      <c r="F23" s="17" t="n">
        <f aca="false">(Raw_Prices!F24-Raw_Prices!F23)/Raw_Prices!F23</f>
        <v>0.024680478519056</v>
      </c>
      <c r="G23" s="17" t="n">
        <f aca="false">(Raw_Prices!G24-Raw_Prices!G23)/Raw_Prices!G23</f>
        <v>-0.0412416945279106</v>
      </c>
      <c r="H23" s="17" t="n">
        <f aca="false">(Raw_Prices!H24-Raw_Prices!H23)/Raw_Prices!H23</f>
        <v>-0.0346002114852773</v>
      </c>
      <c r="I23" s="17" t="n">
        <f aca="false">(Raw_Prices!I24-Raw_Prices!I23)/Raw_Prices!I23</f>
        <v>0.00693744078726212</v>
      </c>
      <c r="J23" s="17" t="n">
        <f aca="false">(Raw_Prices!J24-Raw_Prices!J23)/Raw_Prices!J23</f>
        <v>0.0467928496319664</v>
      </c>
      <c r="K23" s="17" t="n">
        <f aca="false">(Raw_Prices!K24-Raw_Prices!K23)/Raw_Prices!K23</f>
        <v>0.00803500253641558</v>
      </c>
      <c r="L23" s="17" t="n">
        <f aca="false">B23*Portfolio_Holdings!$K$4+C23*Portfolio_Holdings!$K$5+D23*Portfolio_Holdings!$K$6+E23*Portfolio_Holdings!$K$7+F23*Portfolio_Holdings!$K$8+G23*Portfolio_Holdings!$K$9+H23*Portfolio_Holdings!$K$10+I23*Portfolio_Holdings!$K$11+J23*Portfolio_Holdings!$K$12+K23*Portfolio_Holdings!$K$13</f>
        <v>0.0139772548282882</v>
      </c>
      <c r="M23" s="17" t="n">
        <f aca="false">(Raw_Prices!L24-Raw_Prices!L23)/Raw_Prices!L23</f>
        <v>0.0399852838945724</v>
      </c>
    </row>
    <row r="24" customFormat="false" ht="15" hidden="false" customHeight="false" outlineLevel="0" collapsed="false">
      <c r="A24" s="16" t="str">
        <f aca="false">Raw_Prices!A25</f>
        <v>2025-10-31</v>
      </c>
      <c r="B24" s="17" t="n">
        <f aca="false">(Raw_Prices!B25-Raw_Prices!B24)/Raw_Prices!B24</f>
        <v>0.092609841338078</v>
      </c>
      <c r="C24" s="17" t="n">
        <f aca="false">(Raw_Prices!C25-Raw_Prices!C24)/Raw_Prices!C24</f>
        <v>-0.0639273366404181</v>
      </c>
      <c r="D24" s="17" t="n">
        <f aca="false">(Raw_Prices!D25-Raw_Prices!D24)/Raw_Prices!D24</f>
        <v>0.0505465452218467</v>
      </c>
      <c r="E24" s="17" t="n">
        <f aca="false">(Raw_Prices!E25-Raw_Prices!E24)/Raw_Prices!E24</f>
        <v>-0.0226977985610736</v>
      </c>
      <c r="F24" s="17" t="n">
        <f aca="false">(Raw_Prices!F25-Raw_Prices!F24)/Raw_Prices!F24</f>
        <v>0.00719489162694484</v>
      </c>
      <c r="G24" s="17" t="n">
        <f aca="false">(Raw_Prices!G25-Raw_Prices!G24)/Raw_Prices!G24</f>
        <v>0.0171047694718489</v>
      </c>
      <c r="H24" s="17" t="n">
        <f aca="false">(Raw_Prices!H25-Raw_Prices!H24)/Raw_Prices!H24</f>
        <v>0.0688738164698944</v>
      </c>
      <c r="I24" s="17" t="n">
        <f aca="false">(Raw_Prices!I25-Raw_Prices!I24)/Raw_Prices!I24</f>
        <v>-0.0255554206628627</v>
      </c>
      <c r="J24" s="17" t="n">
        <f aca="false">(Raw_Prices!J25-Raw_Prices!J24)/Raw_Prices!J24</f>
        <v>0.0404319437468609</v>
      </c>
      <c r="K24" s="17" t="n">
        <f aca="false">(Raw_Prices!K25-Raw_Prices!K24)/Raw_Prices!K24</f>
        <v>-0.00259707581843823</v>
      </c>
      <c r="L24" s="17" t="n">
        <f aca="false">B24*Portfolio_Holdings!$K$4+C24*Portfolio_Holdings!$K$5+D24*Portfolio_Holdings!$K$6+E24*Portfolio_Holdings!$K$7+F24*Portfolio_Holdings!$K$8+G24*Portfolio_Holdings!$K$9+H24*Portfolio_Holdings!$K$10+I24*Portfolio_Holdings!$K$11+J24*Portfolio_Holdings!$K$12+K24*Portfolio_Holdings!$K$13</f>
        <v>0.0191178888927871</v>
      </c>
      <c r="M24" s="17" t="n">
        <f aca="false">(Raw_Prices!L25-Raw_Prices!L24)/Raw_Prices!L24</f>
        <v>-0.0280773242812337</v>
      </c>
    </row>
    <row r="25" customFormat="false" ht="15" hidden="false" customHeight="false" outlineLevel="0" collapsed="false">
      <c r="A25" s="16" t="str">
        <f aca="false">Raw_Prices!A26</f>
        <v>2025-11-30</v>
      </c>
      <c r="B25" s="17" t="n">
        <f aca="false">(Raw_Prices!B26-Raw_Prices!B25)/Raw_Prices!B25</f>
        <v>-0.000418955743701125</v>
      </c>
      <c r="C25" s="17" t="n">
        <f aca="false">(Raw_Prices!C26-Raw_Prices!C25)/Raw_Prices!C25</f>
        <v>-0.0259936382446497</v>
      </c>
      <c r="D25" s="17" t="n">
        <f aca="false">(Raw_Prices!D26-Raw_Prices!D25)/Raw_Prices!D25</f>
        <v>-0.0400604435751768</v>
      </c>
      <c r="E25" s="17" t="n">
        <f aca="false">(Raw_Prices!E26-Raw_Prices!E25)/Raw_Prices!E25</f>
        <v>-0.00472978553533582</v>
      </c>
      <c r="F25" s="17" t="n">
        <f aca="false">(Raw_Prices!F26-Raw_Prices!F25)/Raw_Prices!F25</f>
        <v>-0.0517735958567729</v>
      </c>
      <c r="G25" s="17" t="n">
        <f aca="false">(Raw_Prices!G26-Raw_Prices!G25)/Raw_Prices!G25</f>
        <v>0.0602812255880567</v>
      </c>
      <c r="H25" s="17" t="n">
        <f aca="false">(Raw_Prices!H26-Raw_Prices!H25)/Raw_Prices!H25</f>
        <v>0.0369401459278638</v>
      </c>
      <c r="I25" s="17" t="n">
        <f aca="false">(Raw_Prices!I26-Raw_Prices!I25)/Raw_Prices!I25</f>
        <v>-0.0536348346103533</v>
      </c>
      <c r="J25" s="17" t="n">
        <f aca="false">(Raw_Prices!J26-Raw_Prices!J25)/Raw_Prices!J25</f>
        <v>0.0298093169201062</v>
      </c>
      <c r="K25" s="17" t="n">
        <f aca="false">(Raw_Prices!K26-Raw_Prices!K25)/Raw_Prices!K25</f>
        <v>0.00624380574826546</v>
      </c>
      <c r="L25" s="17" t="n">
        <f aca="false">B25*Portfolio_Holdings!$K$4+C25*Portfolio_Holdings!$K$5+D25*Portfolio_Holdings!$K$6+E25*Portfolio_Holdings!$K$7+F25*Portfolio_Holdings!$K$8+G25*Portfolio_Holdings!$K$9+H25*Portfolio_Holdings!$K$10+I25*Portfolio_Holdings!$K$11+J25*Portfolio_Holdings!$K$12+K25*Portfolio_Holdings!$K$13</f>
        <v>-0.00625049049051081</v>
      </c>
      <c r="M25" s="17" t="n">
        <f aca="false">(Raw_Prices!L26-Raw_Prices!L25)/Raw_Prices!L25</f>
        <v>0.00661906966893875</v>
      </c>
    </row>
    <row r="26" customFormat="false" ht="15" hidden="false" customHeight="false" outlineLevel="0" collapsed="false">
      <c r="A26" s="16" t="str">
        <f aca="false">Raw_Prices!A27</f>
        <v>2025-12-31</v>
      </c>
      <c r="B26" s="17" t="n">
        <f aca="false">(Raw_Prices!B27-Raw_Prices!B26)/Raw_Prices!B26</f>
        <v>0.0157156029842151</v>
      </c>
      <c r="C26" s="17" t="n">
        <f aca="false">(Raw_Prices!C27-Raw_Prices!C26)/Raw_Prices!C26</f>
        <v>-0.0130313608735767</v>
      </c>
      <c r="D26" s="17" t="n">
        <f aca="false">(Raw_Prices!D27-Raw_Prices!D26)/Raw_Prices!D26</f>
        <v>0.0505253403704866</v>
      </c>
      <c r="E26" s="17" t="n">
        <f aca="false">(Raw_Prices!E27-Raw_Prices!E26)/Raw_Prices!E26</f>
        <v>-0.00782270021465394</v>
      </c>
      <c r="F26" s="17" t="n">
        <f aca="false">(Raw_Prices!F27-Raw_Prices!F26)/Raw_Prices!F26</f>
        <v>0.0684256681596403</v>
      </c>
      <c r="G26" s="17" t="n">
        <f aca="false">(Raw_Prices!G27-Raw_Prices!G26)/Raw_Prices!G26</f>
        <v>-0.0563014203266342</v>
      </c>
      <c r="H26" s="17" t="n">
        <f aca="false">(Raw_Prices!H27-Raw_Prices!H26)/Raw_Prices!H26</f>
        <v>0.0606817911866016</v>
      </c>
      <c r="I26" s="17" t="n">
        <f aca="false">(Raw_Prices!I27-Raw_Prices!I26)/Raw_Prices!I26</f>
        <v>-0.00875460768825687</v>
      </c>
      <c r="J26" s="17" t="n">
        <f aca="false">(Raw_Prices!J27-Raw_Prices!J26)/Raw_Prices!J26</f>
        <v>-0.00398453064572839</v>
      </c>
      <c r="K26" s="17" t="n">
        <f aca="false">(Raw_Prices!K27-Raw_Prices!K26)/Raw_Prices!K26</f>
        <v>0.00285629863094657</v>
      </c>
      <c r="L26" s="17" t="n">
        <f aca="false">B26*Portfolio_Holdings!$K$4+C26*Portfolio_Holdings!$K$5+D26*Portfolio_Holdings!$K$6+E26*Portfolio_Holdings!$K$7+F26*Portfolio_Holdings!$K$8+G26*Portfolio_Holdings!$K$9+H26*Portfolio_Holdings!$K$10+I26*Portfolio_Holdings!$K$11+J26*Portfolio_Holdings!$K$12+K26*Portfolio_Holdings!$K$13</f>
        <v>0.0140240416047159</v>
      </c>
      <c r="M26" s="17" t="n">
        <f aca="false">(Raw_Prices!L27-Raw_Prices!L26)/Raw_Prices!L26</f>
        <v>-0.120650565375687</v>
      </c>
    </row>
    <row r="27" customFormat="false" ht="15" hidden="false" customHeight="false" outlineLevel="0" collapsed="false">
      <c r="A27" s="16" t="str">
        <f aca="false">Raw_Prices!A28</f>
        <v>2026-01-31</v>
      </c>
      <c r="B27" s="17" t="n">
        <f aca="false">(Raw_Prices!B28-Raw_Prices!B27)/Raw_Prices!B27</f>
        <v>-0.0663607103258471</v>
      </c>
      <c r="C27" s="17" t="n">
        <f aca="false">(Raw_Prices!C28-Raw_Prices!C27)/Raw_Prices!C27</f>
        <v>0.0628559863532541</v>
      </c>
      <c r="D27" s="17" t="n">
        <f aca="false">(Raw_Prices!D28-Raw_Prices!D27)/Raw_Prices!D27</f>
        <v>0.156422752201093</v>
      </c>
      <c r="E27" s="17" t="n">
        <f aca="false">(Raw_Prices!E28-Raw_Prices!E27)/Raw_Prices!E27</f>
        <v>-0.0592499247248274</v>
      </c>
      <c r="F27" s="17" t="n">
        <f aca="false">(Raw_Prices!F28-Raw_Prices!F27)/Raw_Prices!F27</f>
        <v>0.0481014471198075</v>
      </c>
      <c r="G27" s="17" t="n">
        <f aca="false">(Raw_Prices!G28-Raw_Prices!G27)/Raw_Prices!G27</f>
        <v>0.0153759406649172</v>
      </c>
      <c r="H27" s="17" t="n">
        <f aca="false">(Raw_Prices!H28-Raw_Prices!H27)/Raw_Prices!H27</f>
        <v>0.123016210744153</v>
      </c>
      <c r="I27" s="17" t="n">
        <f aca="false">(Raw_Prices!I28-Raw_Prices!I27)/Raw_Prices!I27</f>
        <v>0.045952586493127</v>
      </c>
      <c r="J27" s="17" t="n">
        <f aca="false">(Raw_Prices!J28-Raw_Prices!J27)/Raw_Prices!J27</f>
        <v>0.0335333568655137</v>
      </c>
      <c r="K27" s="17" t="n">
        <f aca="false">(Raw_Prices!K28-Raw_Prices!K27)/Raw_Prices!K27</f>
        <v>0.00891055516865772</v>
      </c>
      <c r="L27" s="17" t="n">
        <f aca="false">B27*Portfolio_Holdings!$K$4+C27*Portfolio_Holdings!$K$5+D27*Portfolio_Holdings!$K$6+E27*Portfolio_Holdings!$K$7+F27*Portfolio_Holdings!$K$8+G27*Portfolio_Holdings!$K$9+H27*Portfolio_Holdings!$K$10+I27*Portfolio_Holdings!$K$11+J27*Portfolio_Holdings!$K$12+K27*Portfolio_Holdings!$K$13</f>
        <v>0.0391966365706691</v>
      </c>
      <c r="M27" s="17" t="n">
        <f aca="false">(Raw_Prices!L28-Raw_Prices!L27)/Raw_Prices!L27</f>
        <v>-0.0319754451160713</v>
      </c>
    </row>
    <row r="30" customFormat="false" ht="15" hidden="false" customHeight="false" outlineLevel="0" collapsed="false">
      <c r="A30" s="3" t="s">
        <v>109</v>
      </c>
      <c r="B30" s="13" t="n">
        <f aca="false">AVERAGE(B4:B27)*12</f>
        <v>0.0465609752500947</v>
      </c>
      <c r="C30" s="13" t="n">
        <f aca="false">AVERAGE(C4:C27)*12</f>
        <v>-0.0377761030939961</v>
      </c>
      <c r="D30" s="13" t="n">
        <f aca="false">AVERAGE(D4:D27)*12</f>
        <v>0.320572184671846</v>
      </c>
      <c r="E30" s="13" t="n">
        <f aca="false">AVERAGE(E4:E27)*12</f>
        <v>0.0556253717066628</v>
      </c>
      <c r="F30" s="13" t="n">
        <f aca="false">AVERAGE(F4:F27)*12</f>
        <v>0.139524038114513</v>
      </c>
      <c r="G30" s="13" t="n">
        <f aca="false">AVERAGE(G4:G27)*12</f>
        <v>0.0529611628707554</v>
      </c>
      <c r="H30" s="13" t="n">
        <f aca="false">AVERAGE(H4:H27)*12</f>
        <v>0.303359184533234</v>
      </c>
      <c r="I30" s="13" t="n">
        <f aca="false">AVERAGE(I4:I27)*12</f>
        <v>0.134800382010621</v>
      </c>
      <c r="J30" s="13" t="n">
        <f aca="false">AVERAGE(J4:J27)*12</f>
        <v>0.217054072148343</v>
      </c>
      <c r="K30" s="13" t="n">
        <f aca="false">AVERAGE(K4:K27)*12</f>
        <v>0.0613737523883274</v>
      </c>
      <c r="L30" s="13" t="n">
        <f aca="false">AVERAGE(L4:L27)*12</f>
        <v>0.142987616643286</v>
      </c>
      <c r="M30" s="13" t="n">
        <f aca="false">AVERAGE(M4:M27)*12</f>
        <v>0.0540886140561372</v>
      </c>
    </row>
    <row r="33" customFormat="false" ht="15" hidden="false" customHeight="false" outlineLevel="0" collapsed="false">
      <c r="A33" s="3" t="s">
        <v>110</v>
      </c>
    </row>
    <row r="34" customFormat="false" ht="52.2" hidden="false" customHeight="false" outlineLevel="0" collapsed="false">
      <c r="A34" s="6" t="s">
        <v>19</v>
      </c>
      <c r="B34" s="6" t="s">
        <v>107</v>
      </c>
      <c r="C34" s="6" t="s">
        <v>111</v>
      </c>
      <c r="D34" s="6" t="s">
        <v>112</v>
      </c>
      <c r="E34" s="6" t="s">
        <v>113</v>
      </c>
    </row>
    <row r="35" customFormat="false" ht="15" hidden="false" customHeight="false" outlineLevel="0" collapsed="false">
      <c r="A35" s="16" t="str">
        <f aca="false">A4</f>
        <v>2024-02-29</v>
      </c>
      <c r="B35" s="17" t="n">
        <f aca="false">L4</f>
        <v>0.0193799068256149</v>
      </c>
      <c r="C35" s="18" t="n">
        <f aca="false">100*(1+B35)</f>
        <v>101.937990682561</v>
      </c>
      <c r="D35" s="18" t="n">
        <f aca="false">MAX($C$35:C35)</f>
        <v>101.937990682561</v>
      </c>
      <c r="E35" s="13" t="n">
        <f aca="false">C35/D35-1</f>
        <v>0</v>
      </c>
    </row>
    <row r="36" customFormat="false" ht="15" hidden="false" customHeight="false" outlineLevel="0" collapsed="false">
      <c r="A36" s="16" t="str">
        <f aca="false">A5</f>
        <v>2024-03-31</v>
      </c>
      <c r="B36" s="17" t="n">
        <f aca="false">L5</f>
        <v>-0.00495335990888423</v>
      </c>
      <c r="C36" s="18" t="n">
        <f aca="false">C35*(1+B36)</f>
        <v>101.433055126322</v>
      </c>
      <c r="D36" s="18" t="n">
        <f aca="false">MAX($C$35:C36)</f>
        <v>101.937990682561</v>
      </c>
      <c r="E36" s="13" t="n">
        <f aca="false">C36/D36-1</f>
        <v>-0.00495335990888424</v>
      </c>
    </row>
    <row r="37" customFormat="false" ht="15" hidden="false" customHeight="false" outlineLevel="0" collapsed="false">
      <c r="A37" s="16" t="str">
        <f aca="false">A6</f>
        <v>2024-04-30</v>
      </c>
      <c r="B37" s="17" t="n">
        <f aca="false">L6</f>
        <v>-0.00787155259287328</v>
      </c>
      <c r="C37" s="18" t="n">
        <f aca="false">C36*(1+B37)</f>
        <v>100.63461949824</v>
      </c>
      <c r="D37" s="18" t="n">
        <f aca="false">MAX($C$35:C37)</f>
        <v>101.937990682561</v>
      </c>
      <c r="E37" s="13" t="n">
        <f aca="false">C37/D37-1</f>
        <v>-0.0127859218687233</v>
      </c>
    </row>
    <row r="38" customFormat="false" ht="15" hidden="false" customHeight="false" outlineLevel="0" collapsed="false">
      <c r="A38" s="16" t="str">
        <f aca="false">A7</f>
        <v>2024-05-31</v>
      </c>
      <c r="B38" s="17" t="n">
        <f aca="false">L7</f>
        <v>0.00435532371949449</v>
      </c>
      <c r="C38" s="18" t="n">
        <f aca="false">C37*(1+B38)</f>
        <v>101.072915843543</v>
      </c>
      <c r="D38" s="18" t="n">
        <f aca="false">MAX($C$35:C38)</f>
        <v>101.937990682561</v>
      </c>
      <c r="E38" s="13" t="n">
        <f aca="false">C38/D38-1</f>
        <v>-0.0084862849780194</v>
      </c>
    </row>
    <row r="39" customFormat="false" ht="15" hidden="false" customHeight="false" outlineLevel="0" collapsed="false">
      <c r="A39" s="16" t="str">
        <f aca="false">A8</f>
        <v>2024-06-30</v>
      </c>
      <c r="B39" s="17" t="n">
        <f aca="false">L8</f>
        <v>-0.00501274016242127</v>
      </c>
      <c r="C39" s="18" t="n">
        <f aca="false">C38*(1+B39)</f>
        <v>100.566263578961</v>
      </c>
      <c r="D39" s="18" t="n">
        <f aca="false">MAX($C$35:C39)</f>
        <v>101.937990682561</v>
      </c>
      <c r="E39" s="13" t="n">
        <f aca="false">C39/D39-1</f>
        <v>-0.0134564855989016</v>
      </c>
    </row>
    <row r="40" customFormat="false" ht="15" hidden="false" customHeight="false" outlineLevel="0" collapsed="false">
      <c r="A40" s="16" t="str">
        <f aca="false">A9</f>
        <v>2024-07-31</v>
      </c>
      <c r="B40" s="17" t="n">
        <f aca="false">L9</f>
        <v>0.0202903433181761</v>
      </c>
      <c r="C40" s="18" t="n">
        <f aca="false">C39*(1+B40)</f>
        <v>102.606787593204</v>
      </c>
      <c r="D40" s="18" t="n">
        <f aca="false">MAX($C$35:C40)</f>
        <v>102.606787593204</v>
      </c>
      <c r="E40" s="13" t="n">
        <f aca="false">C40/D40-1</f>
        <v>0</v>
      </c>
    </row>
    <row r="41" customFormat="false" ht="15" hidden="false" customHeight="false" outlineLevel="0" collapsed="false">
      <c r="A41" s="16" t="str">
        <f aca="false">A10</f>
        <v>2024-08-31</v>
      </c>
      <c r="B41" s="17" t="n">
        <f aca="false">L10</f>
        <v>0.0268823962290359</v>
      </c>
      <c r="C41" s="18" t="n">
        <f aca="false">C40*(1+B41)</f>
        <v>105.365103913073</v>
      </c>
      <c r="D41" s="18" t="n">
        <f aca="false">MAX($C$35:C41)</f>
        <v>105.365103913073</v>
      </c>
      <c r="E41" s="13" t="n">
        <f aca="false">C41/D41-1</f>
        <v>0</v>
      </c>
    </row>
    <row r="42" customFormat="false" ht="15" hidden="false" customHeight="false" outlineLevel="0" collapsed="false">
      <c r="A42" s="16" t="str">
        <f aca="false">A11</f>
        <v>2024-09-30</v>
      </c>
      <c r="B42" s="17" t="n">
        <f aca="false">L11</f>
        <v>0.0162025052788891</v>
      </c>
      <c r="C42" s="18" t="n">
        <f aca="false">C41*(1+B42)</f>
        <v>107.072282565435</v>
      </c>
      <c r="D42" s="18" t="n">
        <f aca="false">MAX($C$35:C42)</f>
        <v>107.072282565435</v>
      </c>
      <c r="E42" s="13" t="n">
        <f aca="false">C42/D42-1</f>
        <v>0</v>
      </c>
    </row>
    <row r="43" customFormat="false" ht="15" hidden="false" customHeight="false" outlineLevel="0" collapsed="false">
      <c r="A43" s="16" t="str">
        <f aca="false">A12</f>
        <v>2024-10-31</v>
      </c>
      <c r="B43" s="17" t="n">
        <f aca="false">L12</f>
        <v>-0.00519982684750817</v>
      </c>
      <c r="C43" s="18" t="n">
        <f aca="false">C42*(1+B43)</f>
        <v>106.515525235928</v>
      </c>
      <c r="D43" s="18" t="n">
        <f aca="false">MAX($C$35:C43)</f>
        <v>107.072282565435</v>
      </c>
      <c r="E43" s="13" t="n">
        <f aca="false">C43/D43-1</f>
        <v>-0.00519982684750819</v>
      </c>
    </row>
    <row r="44" customFormat="false" ht="15" hidden="false" customHeight="false" outlineLevel="0" collapsed="false">
      <c r="A44" s="16" t="str">
        <f aca="false">A13</f>
        <v>2024-11-30</v>
      </c>
      <c r="B44" s="17" t="n">
        <f aca="false">L13</f>
        <v>0.0208478262642535</v>
      </c>
      <c r="C44" s="18" t="n">
        <f aca="false">C43*(1+B44)</f>
        <v>108.736142400492</v>
      </c>
      <c r="D44" s="18" t="n">
        <f aca="false">MAX($C$35:C44)</f>
        <v>108.736142400492</v>
      </c>
      <c r="E44" s="13" t="n">
        <f aca="false">C44/D44-1</f>
        <v>0</v>
      </c>
    </row>
    <row r="45" customFormat="false" ht="15" hidden="false" customHeight="false" outlineLevel="0" collapsed="false">
      <c r="A45" s="16" t="str">
        <f aca="false">A14</f>
        <v>2024-12-31</v>
      </c>
      <c r="B45" s="17" t="n">
        <f aca="false">L14</f>
        <v>0.0323573768951045</v>
      </c>
      <c r="C45" s="18" t="n">
        <f aca="false">C44*(1+B45)</f>
        <v>112.254558742264</v>
      </c>
      <c r="D45" s="18" t="n">
        <f aca="false">MAX($C$35:C45)</f>
        <v>112.254558742264</v>
      </c>
      <c r="E45" s="13" t="n">
        <f aca="false">C45/D45-1</f>
        <v>0</v>
      </c>
    </row>
    <row r="46" customFormat="false" ht="15" hidden="false" customHeight="false" outlineLevel="0" collapsed="false">
      <c r="A46" s="16" t="str">
        <f aca="false">A15</f>
        <v>2025-01-31</v>
      </c>
      <c r="B46" s="17" t="n">
        <f aca="false">L15</f>
        <v>0.0252175546612929</v>
      </c>
      <c r="C46" s="18" t="n">
        <f aca="false">C45*(1+B46)</f>
        <v>115.085344213327</v>
      </c>
      <c r="D46" s="18" t="n">
        <f aca="false">MAX($C$35:C46)</f>
        <v>115.085344213327</v>
      </c>
      <c r="E46" s="13" t="n">
        <f aca="false">C46/D46-1</f>
        <v>0</v>
      </c>
    </row>
    <row r="47" customFormat="false" ht="15" hidden="false" customHeight="false" outlineLevel="0" collapsed="false">
      <c r="A47" s="16" t="str">
        <f aca="false">A16</f>
        <v>2025-02-28</v>
      </c>
      <c r="B47" s="17" t="n">
        <f aca="false">L16</f>
        <v>0.0115074055481384</v>
      </c>
      <c r="C47" s="18" t="n">
        <f aca="false">C46*(1+B47)</f>
        <v>116.409677941837</v>
      </c>
      <c r="D47" s="18" t="n">
        <f aca="false">MAX($C$35:C47)</f>
        <v>116.409677941837</v>
      </c>
      <c r="E47" s="13" t="n">
        <f aca="false">C47/D47-1</f>
        <v>0</v>
      </c>
    </row>
    <row r="48" customFormat="false" ht="15" hidden="false" customHeight="false" outlineLevel="0" collapsed="false">
      <c r="A48" s="16" t="str">
        <f aca="false">A17</f>
        <v>2025-03-31</v>
      </c>
      <c r="B48" s="17" t="n">
        <f aca="false">L17</f>
        <v>-0.015541539143156</v>
      </c>
      <c r="C48" s="18" t="n">
        <f aca="false">C47*(1+B48)</f>
        <v>114.600492375461</v>
      </c>
      <c r="D48" s="18" t="n">
        <f aca="false">MAX($C$35:C48)</f>
        <v>116.409677941837</v>
      </c>
      <c r="E48" s="13" t="n">
        <f aca="false">C48/D48-1</f>
        <v>-0.015541539143156</v>
      </c>
    </row>
    <row r="49" customFormat="false" ht="15" hidden="false" customHeight="false" outlineLevel="0" collapsed="false">
      <c r="A49" s="16" t="str">
        <f aca="false">A18</f>
        <v>2025-04-30</v>
      </c>
      <c r="B49" s="17" t="n">
        <f aca="false">L18</f>
        <v>-0.0342941825986887</v>
      </c>
      <c r="C49" s="18" t="n">
        <f aca="false">C48*(1+B49)</f>
        <v>110.670362164038</v>
      </c>
      <c r="D49" s="18" t="n">
        <f aca="false">MAX($C$35:C49)</f>
        <v>116.409677941837</v>
      </c>
      <c r="E49" s="13" t="n">
        <f aca="false">C49/D49-1</f>
        <v>-0.0493027373606048</v>
      </c>
    </row>
    <row r="50" customFormat="false" ht="15" hidden="false" customHeight="false" outlineLevel="0" collapsed="false">
      <c r="A50" s="16" t="str">
        <f aca="false">A19</f>
        <v>2025-05-31</v>
      </c>
      <c r="B50" s="17" t="n">
        <f aca="false">L19</f>
        <v>0.0108500649746672</v>
      </c>
      <c r="C50" s="18" t="n">
        <f aca="false">C49*(1+B50)</f>
        <v>111.871142784287</v>
      </c>
      <c r="D50" s="18" t="n">
        <f aca="false">MAX($C$35:C50)</f>
        <v>116.409677941837</v>
      </c>
      <c r="E50" s="13" t="n">
        <f aca="false">C50/D50-1</f>
        <v>-0.0389876102897291</v>
      </c>
    </row>
    <row r="51" customFormat="false" ht="15" hidden="false" customHeight="false" outlineLevel="0" collapsed="false">
      <c r="A51" s="16" t="str">
        <f aca="false">A20</f>
        <v>2025-06-30</v>
      </c>
      <c r="B51" s="17" t="n">
        <f aca="false">L20</f>
        <v>0.00594338519938295</v>
      </c>
      <c r="C51" s="18" t="n">
        <f aca="false">C50*(1+B51)</f>
        <v>112.53603607855</v>
      </c>
      <c r="D51" s="18" t="n">
        <f aca="false">MAX($C$35:C51)</f>
        <v>116.409677941837</v>
      </c>
      <c r="E51" s="13" t="n">
        <f aca="false">C51/D51-1</f>
        <v>-0.0332759434763015</v>
      </c>
    </row>
    <row r="52" customFormat="false" ht="15" hidden="false" customHeight="false" outlineLevel="0" collapsed="false">
      <c r="A52" s="16" t="str">
        <f aca="false">A21</f>
        <v>2025-07-31</v>
      </c>
      <c r="B52" s="17" t="n">
        <f aca="false">L21</f>
        <v>0.0657955903389338</v>
      </c>
      <c r="C52" s="18" t="n">
        <f aca="false">C51*(1+B52)</f>
        <v>119.940411006741</v>
      </c>
      <c r="D52" s="18" t="n">
        <f aca="false">MAX($C$35:C52)</f>
        <v>119.940411006741</v>
      </c>
      <c r="E52" s="13" t="n">
        <f aca="false">C52/D52-1</f>
        <v>0</v>
      </c>
    </row>
    <row r="53" customFormat="false" ht="15" hidden="false" customHeight="false" outlineLevel="0" collapsed="false">
      <c r="A53" s="16" t="str">
        <f aca="false">A22</f>
        <v>2025-08-31</v>
      </c>
      <c r="B53" s="17" t="n">
        <f aca="false">L22</f>
        <v>0.0191534238811695</v>
      </c>
      <c r="C53" s="18" t="n">
        <f aca="false">C52*(1+B53)</f>
        <v>122.237680539235</v>
      </c>
      <c r="D53" s="18" t="n">
        <f aca="false">MAX($C$35:C53)</f>
        <v>122.237680539235</v>
      </c>
      <c r="E53" s="13" t="n">
        <f aca="false">C53/D53-1</f>
        <v>0</v>
      </c>
    </row>
    <row r="54" customFormat="false" ht="15" hidden="false" customHeight="false" outlineLevel="0" collapsed="false">
      <c r="A54" s="16" t="str">
        <f aca="false">A23</f>
        <v>2025-09-30</v>
      </c>
      <c r="B54" s="17" t="n">
        <f aca="false">L23</f>
        <v>0.0139772548282882</v>
      </c>
      <c r="C54" s="18" t="n">
        <f aca="false">C53*(1+B54)</f>
        <v>123.946227749751</v>
      </c>
      <c r="D54" s="18" t="n">
        <f aca="false">MAX($C$35:C54)</f>
        <v>123.946227749751</v>
      </c>
      <c r="E54" s="13" t="n">
        <f aca="false">C54/D54-1</f>
        <v>0</v>
      </c>
    </row>
    <row r="55" customFormat="false" ht="15" hidden="false" customHeight="false" outlineLevel="0" collapsed="false">
      <c r="A55" s="16" t="str">
        <f aca="false">A24</f>
        <v>2025-10-31</v>
      </c>
      <c r="B55" s="17" t="n">
        <f aca="false">L24</f>
        <v>0.0191178888927871</v>
      </c>
      <c r="C55" s="18" t="n">
        <f aca="false">C54*(1+B55)</f>
        <v>126.315817960551</v>
      </c>
      <c r="D55" s="18" t="n">
        <f aca="false">MAX($C$35:C55)</f>
        <v>126.315817960551</v>
      </c>
      <c r="E55" s="13" t="n">
        <f aca="false">C55/D55-1</f>
        <v>0</v>
      </c>
    </row>
    <row r="56" customFormat="false" ht="15" hidden="false" customHeight="false" outlineLevel="0" collapsed="false">
      <c r="A56" s="16" t="str">
        <f aca="false">A25</f>
        <v>2025-11-30</v>
      </c>
      <c r="B56" s="17" t="n">
        <f aca="false">L25</f>
        <v>-0.00625049049051081</v>
      </c>
      <c r="C56" s="18" t="n">
        <f aca="false">C55*(1+B56)</f>
        <v>125.526282141587</v>
      </c>
      <c r="D56" s="18" t="n">
        <f aca="false">MAX($C$35:C56)</f>
        <v>126.315817960551</v>
      </c>
      <c r="E56" s="13" t="n">
        <f aca="false">C56/D56-1</f>
        <v>-0.00625049049051085</v>
      </c>
    </row>
    <row r="57" customFormat="false" ht="15" hidden="false" customHeight="false" outlineLevel="0" collapsed="false">
      <c r="A57" s="16" t="str">
        <f aca="false">A26</f>
        <v>2025-12-31</v>
      </c>
      <c r="B57" s="17" t="n">
        <f aca="false">L26</f>
        <v>0.0140240416047159</v>
      </c>
      <c r="C57" s="18" t="n">
        <f aca="false">C56*(1+B57)</f>
        <v>127.286667944826</v>
      </c>
      <c r="D57" s="18" t="n">
        <f aca="false">MAX($C$35:C57)</f>
        <v>127.286667944826</v>
      </c>
      <c r="E57" s="13" t="n">
        <f aca="false">C57/D57-1</f>
        <v>0</v>
      </c>
    </row>
    <row r="58" customFormat="false" ht="15" hidden="false" customHeight="false" outlineLevel="0" collapsed="false">
      <c r="A58" s="16" t="str">
        <f aca="false">A27</f>
        <v>2026-01-31</v>
      </c>
      <c r="B58" s="17" t="n">
        <f aca="false">L27</f>
        <v>0.0391966365706691</v>
      </c>
      <c r="C58" s="18" t="n">
        <f aca="false">C57*(1+B58)</f>
        <v>132.275877208551</v>
      </c>
      <c r="D58" s="18" t="n">
        <f aca="false">MAX($C$35:C58)</f>
        <v>132.275877208551</v>
      </c>
      <c r="E58" s="13" t="n">
        <f aca="false">C58/D58-1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6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 t="s">
        <v>116</v>
      </c>
      <c r="B4" s="13" t="n">
        <f aca="false">Investor_Profile!B11</f>
        <v>0.07</v>
      </c>
    </row>
    <row r="6" customFormat="false" ht="39.55" hidden="false" customHeight="false" outlineLevel="0" collapsed="false">
      <c r="A6" s="6" t="s">
        <v>58</v>
      </c>
      <c r="B6" s="6" t="s">
        <v>59</v>
      </c>
      <c r="C6" s="6" t="s">
        <v>117</v>
      </c>
      <c r="D6" s="6" t="s">
        <v>118</v>
      </c>
      <c r="E6" s="6" t="s">
        <v>119</v>
      </c>
      <c r="F6" s="6" t="s">
        <v>120</v>
      </c>
      <c r="G6" s="6" t="s">
        <v>121</v>
      </c>
      <c r="H6" s="6" t="s">
        <v>122</v>
      </c>
      <c r="I6" s="6" t="s">
        <v>123</v>
      </c>
      <c r="J6" s="6" t="s">
        <v>124</v>
      </c>
      <c r="K6" s="6" t="s">
        <v>125</v>
      </c>
    </row>
    <row r="7" customFormat="false" ht="15" hidden="false" customHeight="false" outlineLevel="0" collapsed="false">
      <c r="A7" s="0" t="s">
        <v>69</v>
      </c>
      <c r="B7" s="0" t="str">
        <f aca="false">Portfolio_Holdings!B4</f>
        <v>Reliance Industries</v>
      </c>
      <c r="C7" s="17" t="n">
        <f aca="false">STDEVP(Returns!B4:B27)</f>
        <v>0.0524291438996519</v>
      </c>
      <c r="D7" s="13" t="n">
        <f aca="false">C7*SQRT(12)</f>
        <v>0.181619882063074</v>
      </c>
      <c r="E7" s="18" t="n">
        <f aca="false">SLOPE(Returns!B4:B27,Returns!M4:M27)</f>
        <v>-0.0904380097640899</v>
      </c>
      <c r="F7" s="13" t="n">
        <f aca="false">Returns!B30</f>
        <v>0.0465609752500947</v>
      </c>
      <c r="G7" s="18" t="n">
        <f aca="false">(F7-$B$4)/D7</f>
        <v>-0.129055390211989</v>
      </c>
      <c r="H7" s="18" t="n">
        <f aca="false">(F7-$B$4)/E7</f>
        <v>0.259172275142351</v>
      </c>
      <c r="I7" s="13" t="n">
        <f aca="false">MIN(Returns!B4:B27)</f>
        <v>-0.0932292025837297</v>
      </c>
      <c r="J7" s="8" t="n">
        <f aca="false">1.645*C7*Portfolio_Holdings!J4</f>
        <v>10991.3940267015</v>
      </c>
      <c r="K7" s="0" t="str">
        <f aca="false">IF(D7&lt;0.15,"Conservative",IF(D7&lt;0.25,"Moderate",IF(D7&lt;0.35,"Aggressive","Very Aggressive")))</f>
        <v>Moderate</v>
      </c>
    </row>
    <row r="8" customFormat="false" ht="15" hidden="false" customHeight="false" outlineLevel="0" collapsed="false">
      <c r="A8" s="0" t="s">
        <v>73</v>
      </c>
      <c r="B8" s="0" t="str">
        <f aca="false">Portfolio_Holdings!B5</f>
        <v>TCS</v>
      </c>
      <c r="C8" s="17" t="n">
        <f aca="false">STDEVP(Returns!C4:C27)</f>
        <v>0.0433486046713021</v>
      </c>
      <c r="D8" s="13" t="n">
        <f aca="false">C8*SQRT(12)</f>
        <v>0.150163971455826</v>
      </c>
      <c r="E8" s="18" t="n">
        <f aca="false">SLOPE(Returns!C4:C27,Returns!M4:M27)</f>
        <v>-0.0216405960807496</v>
      </c>
      <c r="F8" s="13" t="n">
        <f aca="false">Returns!C30</f>
        <v>-0.0377761030939961</v>
      </c>
      <c r="G8" s="18" t="n">
        <f aca="false">(F8-$B$4)/D8</f>
        <v>-0.717722780298875</v>
      </c>
      <c r="H8" s="18" t="n">
        <f aca="false">(F8-$B$4)/E8</f>
        <v>4.98027423513849</v>
      </c>
      <c r="I8" s="13" t="n">
        <f aca="false">MIN(Returns!C4:C27)</f>
        <v>-0.0879823105493353</v>
      </c>
      <c r="J8" s="8" t="n">
        <f aca="false">1.645*C8*Portfolio_Holdings!J5</f>
        <v>6463.65230790228</v>
      </c>
      <c r="K8" s="0" t="str">
        <f aca="false">IF(D8&lt;0.15,"Conservative",IF(D8&lt;0.25,"Moderate",IF(D8&lt;0.35,"Aggressive","Very Aggressive")))</f>
        <v>Moderate</v>
      </c>
    </row>
    <row r="9" customFormat="false" ht="15" hidden="false" customHeight="false" outlineLevel="0" collapsed="false">
      <c r="A9" s="0" t="s">
        <v>76</v>
      </c>
      <c r="B9" s="0" t="str">
        <f aca="false">Portfolio_Holdings!B6</f>
        <v>Persistent Systems</v>
      </c>
      <c r="C9" s="17" t="n">
        <f aca="false">STDEVP(Returns!D4:D27)</f>
        <v>0.0765276941124475</v>
      </c>
      <c r="D9" s="13" t="n">
        <f aca="false">C9*SQRT(12)</f>
        <v>0.265099708777697</v>
      </c>
      <c r="E9" s="18" t="n">
        <f aca="false">SLOPE(Returns!D4:D27,Returns!M4:M27)</f>
        <v>-0.190974277329099</v>
      </c>
      <c r="F9" s="13" t="n">
        <f aca="false">Returns!D30</f>
        <v>0.320572184671846</v>
      </c>
      <c r="G9" s="18" t="n">
        <f aca="false">(F9-$B$4)/D9</f>
        <v>0.945199773425499</v>
      </c>
      <c r="H9" s="18" t="n">
        <f aca="false">(F9-$B$4)/E9</f>
        <v>-1.3120729565063</v>
      </c>
      <c r="I9" s="13" t="n">
        <f aca="false">MIN(Returns!D4:D27)</f>
        <v>-0.140673785065663</v>
      </c>
      <c r="J9" s="8" t="n">
        <f aca="false">1.645*C9*Portfolio_Holdings!J6</f>
        <v>17714.4428214334</v>
      </c>
      <c r="K9" s="0" t="str">
        <f aca="false">IF(D9&lt;0.15,"Conservative",IF(D9&lt;0.25,"Moderate",IF(D9&lt;0.35,"Aggressive","Very Aggressive")))</f>
        <v>Aggressive</v>
      </c>
    </row>
    <row r="10" customFormat="false" ht="15" hidden="false" customHeight="false" outlineLevel="0" collapsed="false">
      <c r="A10" s="0" t="s">
        <v>79</v>
      </c>
      <c r="B10" s="0" t="str">
        <f aca="false">Portfolio_Holdings!B7</f>
        <v>HDFC Bank</v>
      </c>
      <c r="C10" s="17" t="n">
        <f aca="false">STDEVP(Returns!E4:E27)</f>
        <v>0.0464658727368318</v>
      </c>
      <c r="D10" s="13" t="n">
        <f aca="false">C10*SQRT(12)</f>
        <v>0.160962504796444</v>
      </c>
      <c r="E10" s="18" t="n">
        <f aca="false">SLOPE(Returns!E4:E27,Returns!M4:M27)</f>
        <v>-0.111437282458011</v>
      </c>
      <c r="F10" s="13" t="n">
        <f aca="false">Returns!E30</f>
        <v>0.0556253717066628</v>
      </c>
      <c r="G10" s="18" t="n">
        <f aca="false">(F10-$B$4)/D10</f>
        <v>-0.089304203556695</v>
      </c>
      <c r="H10" s="18" t="n">
        <f aca="false">(F10-$B$4)/E10</f>
        <v>0.128992990283601</v>
      </c>
      <c r="I10" s="13" t="n">
        <f aca="false">MIN(Returns!E4:E27)</f>
        <v>-0.114750335475669</v>
      </c>
      <c r="J10" s="8" t="n">
        <f aca="false">1.645*C10*Portfolio_Holdings!J7</f>
        <v>9984.02866356986</v>
      </c>
      <c r="K10" s="0" t="str">
        <f aca="false">IF(D10&lt;0.15,"Conservative",IF(D10&lt;0.25,"Moderate",IF(D10&lt;0.35,"Aggressive","Very Aggressive")))</f>
        <v>Moderate</v>
      </c>
    </row>
    <row r="11" customFormat="false" ht="15" hidden="false" customHeight="false" outlineLevel="0" collapsed="false">
      <c r="A11" s="0" t="s">
        <v>83</v>
      </c>
      <c r="B11" s="0" t="str">
        <f aca="false">Portfolio_Holdings!B8</f>
        <v>Infosys</v>
      </c>
      <c r="C11" s="17" t="n">
        <f aca="false">STDEVP(Returns!F4:F27)</f>
        <v>0.0475410550301197</v>
      </c>
      <c r="D11" s="13" t="n">
        <f aca="false">C11*SQRT(12)</f>
        <v>0.164687045515191</v>
      </c>
      <c r="E11" s="18" t="n">
        <f aca="false">SLOPE(Returns!F4:F27,Returns!M4:M27)</f>
        <v>-0.104773670417767</v>
      </c>
      <c r="F11" s="13" t="n">
        <f aca="false">Returns!F30</f>
        <v>0.139524038114513</v>
      </c>
      <c r="G11" s="18" t="n">
        <f aca="false">(F11-$B$4)/D11</f>
        <v>0.422158512207326</v>
      </c>
      <c r="H11" s="18" t="n">
        <f aca="false">(F11-$B$4)/E11</f>
        <v>-0.663564021736545</v>
      </c>
      <c r="I11" s="13" t="n">
        <f aca="false">MIN(Returns!F4:F27)</f>
        <v>-0.0907734122843206</v>
      </c>
      <c r="J11" s="8" t="n">
        <f aca="false">1.645*C11*Portfolio_Holdings!J8</f>
        <v>10053.8385703229</v>
      </c>
      <c r="K11" s="0" t="str">
        <f aca="false">IF(D11&lt;0.15,"Conservative",IF(D11&lt;0.25,"Moderate",IF(D11&lt;0.35,"Aggressive","Very Aggressive")))</f>
        <v>Moderate</v>
      </c>
    </row>
    <row r="12" customFormat="false" ht="15" hidden="false" customHeight="false" outlineLevel="0" collapsed="false">
      <c r="A12" s="0" t="s">
        <v>86</v>
      </c>
      <c r="B12" s="0" t="str">
        <f aca="false">Portfolio_Holdings!B9</f>
        <v>ITC Ltd</v>
      </c>
      <c r="C12" s="17" t="n">
        <f aca="false">STDEVP(Returns!G4:G27)</f>
        <v>0.0417817088572001</v>
      </c>
      <c r="D12" s="13" t="n">
        <f aca="false">C12*SQRT(12)</f>
        <v>0.144736085135442</v>
      </c>
      <c r="E12" s="18" t="n">
        <f aca="false">SLOPE(Returns!G4:G27,Returns!M4:M27)</f>
        <v>0.0728465465970507</v>
      </c>
      <c r="F12" s="13" t="n">
        <f aca="false">Returns!G30</f>
        <v>0.0529611628707554</v>
      </c>
      <c r="G12" s="18" t="n">
        <f aca="false">(F12-$B$4)/D12</f>
        <v>-0.117723490401857</v>
      </c>
      <c r="H12" s="18" t="n">
        <f aca="false">(F12-$B$4)/E12</f>
        <v>-0.233900410179972</v>
      </c>
      <c r="I12" s="13" t="n">
        <f aca="false">MIN(Returns!G4:G27)</f>
        <v>-0.0563014203266342</v>
      </c>
      <c r="J12" s="8" t="n">
        <f aca="false">1.645*C12*Portfolio_Holdings!J9</f>
        <v>5986.94187218941</v>
      </c>
      <c r="K12" s="0" t="str">
        <f aca="false">IF(D12&lt;0.15,"Conservative",IF(D12&lt;0.25,"Moderate",IF(D12&lt;0.35,"Aggressive","Very Aggressive")))</f>
        <v>Conservative</v>
      </c>
    </row>
    <row r="13" customFormat="false" ht="15" hidden="false" customHeight="false" outlineLevel="0" collapsed="false">
      <c r="A13" s="0" t="s">
        <v>90</v>
      </c>
      <c r="B13" s="0" t="str">
        <f aca="false">Portfolio_Holdings!B10</f>
        <v>Sun Pharma</v>
      </c>
      <c r="C13" s="17" t="n">
        <f aca="false">STDEVP(Returns!H4:H27)</f>
        <v>0.0516679956194875</v>
      </c>
      <c r="D13" s="13" t="n">
        <f aca="false">C13*SQRT(12)</f>
        <v>0.178983187076397</v>
      </c>
      <c r="E13" s="18" t="n">
        <f aca="false">SLOPE(Returns!H4:H27,Returns!M4:M27)</f>
        <v>-0.274682172212389</v>
      </c>
      <c r="F13" s="13" t="n">
        <f aca="false">Returns!H30</f>
        <v>0.303359184533234</v>
      </c>
      <c r="G13" s="18" t="n">
        <f aca="false">(F13-$B$4)/D13</f>
        <v>1.30380505758693</v>
      </c>
      <c r="H13" s="18" t="n">
        <f aca="false">(F13-$B$4)/E13</f>
        <v>-0.849560721956127</v>
      </c>
      <c r="I13" s="13" t="n">
        <f aca="false">MIN(Returns!H4:H27)</f>
        <v>-0.0635847292130814</v>
      </c>
      <c r="J13" s="8" t="n">
        <f aca="false">1.645*C13*Portfolio_Holdings!J10</f>
        <v>12004.9627233792</v>
      </c>
      <c r="K13" s="0" t="str">
        <f aca="false">IF(D13&lt;0.15,"Conservative",IF(D13&lt;0.25,"Moderate",IF(D13&lt;0.35,"Aggressive","Very Aggressive")))</f>
        <v>Moderate</v>
      </c>
    </row>
    <row r="14" customFormat="false" ht="15" hidden="false" customHeight="false" outlineLevel="0" collapsed="false">
      <c r="A14" s="0" t="s">
        <v>94</v>
      </c>
      <c r="B14" s="0" t="str">
        <f aca="false">Portfolio_Holdings!B11</f>
        <v>Nifty50 Index ETF</v>
      </c>
      <c r="C14" s="17" t="n">
        <f aca="false">STDEVP(Returns!I4:I27)</f>
        <v>0.0381164729656413</v>
      </c>
      <c r="D14" s="13" t="n">
        <f aca="false">C14*SQRT(12)</f>
        <v>0.132039335563632</v>
      </c>
      <c r="E14" s="18" t="n">
        <f aca="false">SLOPE(Returns!I4:I27,Returns!M4:M27)</f>
        <v>0.147724664722461</v>
      </c>
      <c r="F14" s="13" t="n">
        <f aca="false">Returns!I30</f>
        <v>0.134800382010621</v>
      </c>
      <c r="G14" s="18" t="n">
        <f aca="false">(F14-$B$4)/D14</f>
        <v>0.490765738361299</v>
      </c>
      <c r="H14" s="18" t="n">
        <f aca="false">(F14-$B$4)/E14</f>
        <v>0.438656483887545</v>
      </c>
      <c r="I14" s="13" t="n">
        <f aca="false">MIN(Returns!I4:I27)</f>
        <v>-0.0536348346103533</v>
      </c>
      <c r="J14" s="8" t="n">
        <f aca="false">1.645*C14*Portfolio_Holdings!J11</f>
        <v>9674.57505841554</v>
      </c>
      <c r="K14" s="0" t="str">
        <f aca="false">IF(D14&lt;0.15,"Conservative",IF(D14&lt;0.25,"Moderate",IF(D14&lt;0.35,"Aggressive","Very Aggressive")))</f>
        <v>Conservative</v>
      </c>
    </row>
    <row r="15" customFormat="false" ht="15" hidden="false" customHeight="false" outlineLevel="0" collapsed="false">
      <c r="A15" s="0" t="s">
        <v>98</v>
      </c>
      <c r="B15" s="0" t="str">
        <f aca="false">Portfolio_Holdings!B12</f>
        <v>Gold ETF</v>
      </c>
      <c r="C15" s="17" t="n">
        <f aca="false">STDEVP(Returns!J4:J27)</f>
        <v>0.0365964742820142</v>
      </c>
      <c r="D15" s="13" t="n">
        <f aca="false">C15*SQRT(12)</f>
        <v>0.126773905668673</v>
      </c>
      <c r="E15" s="18" t="n">
        <f aca="false">SLOPE(Returns!J4:J27,Returns!M4:M27)</f>
        <v>-0.083506129798258</v>
      </c>
      <c r="F15" s="13" t="n">
        <f aca="false">Returns!J30</f>
        <v>0.217054072148343</v>
      </c>
      <c r="G15" s="18" t="n">
        <f aca="false">(F15-$B$4)/D15</f>
        <v>1.15997114211084</v>
      </c>
      <c r="H15" s="18" t="n">
        <f aca="false">(F15-$B$4)/E15</f>
        <v>-1.76099733640644</v>
      </c>
      <c r="I15" s="13" t="n">
        <f aca="false">MIN(Returns!J4:J27)</f>
        <v>-0.0412339172221362</v>
      </c>
      <c r="J15" s="8" t="n">
        <f aca="false">1.645*C15*Portfolio_Holdings!J12</f>
        <v>9117.36797419543</v>
      </c>
      <c r="K15" s="0" t="str">
        <f aca="false">IF(D15&lt;0.15,"Conservative",IF(D15&lt;0.25,"Moderate",IF(D15&lt;0.35,"Aggressive","Very Aggressive")))</f>
        <v>Conservative</v>
      </c>
    </row>
    <row r="16" customFormat="false" ht="15" hidden="false" customHeight="false" outlineLevel="0" collapsed="false">
      <c r="A16" s="0" t="s">
        <v>101</v>
      </c>
      <c r="B16" s="0" t="str">
        <f aca="false">Portfolio_Holdings!B13</f>
        <v>Liquid/Debt Fund</v>
      </c>
      <c r="C16" s="17" t="n">
        <f aca="false">STDEVP(Returns!K4:K27)</f>
        <v>0.00427679373914037</v>
      </c>
      <c r="D16" s="13" t="n">
        <f aca="false">C16*SQRT(12)</f>
        <v>0.0148152480993672</v>
      </c>
      <c r="E16" s="18" t="n">
        <f aca="false">SLOPE(Returns!K4:K27,Returns!M4:M27)</f>
        <v>0.00795603172032468</v>
      </c>
      <c r="F16" s="13" t="n">
        <f aca="false">Returns!K30</f>
        <v>0.0613737523883274</v>
      </c>
      <c r="G16" s="18" t="n">
        <f aca="false">(F16-$B$4)/D16</f>
        <v>-0.582254684755571</v>
      </c>
      <c r="H16" s="18" t="n">
        <f aca="false">(F16-$B$4)/E16</f>
        <v>-1.08423997225096</v>
      </c>
      <c r="I16" s="13" t="n">
        <f aca="false">MIN(Returns!K4:K27)</f>
        <v>-0.00259707581843823</v>
      </c>
      <c r="J16" s="8" t="n">
        <f aca="false">1.645*C16*Portfolio_Holdings!J13</f>
        <v>794.991804200107</v>
      </c>
      <c r="K16" s="0" t="str">
        <f aca="false">IF(D16&lt;0.15,"Conservative",IF(D16&lt;0.25,"Moderate",IF(D16&lt;0.35,"Aggressive","Very Aggressive")))</f>
        <v>Conservative</v>
      </c>
    </row>
    <row r="17" customFormat="false" ht="15" hidden="false" customHeight="false" outlineLevel="0" collapsed="false">
      <c r="A17" s="3" t="s">
        <v>126</v>
      </c>
      <c r="B17" s="3"/>
      <c r="C17" s="19" t="n">
        <f aca="false">STDEVP(Returns!L4:L27)</f>
        <v>0.019761139459336</v>
      </c>
      <c r="D17" s="14" t="n">
        <f aca="false">C17*SQRT(12)</f>
        <v>0.0684545951180481</v>
      </c>
      <c r="E17" s="20" t="n">
        <f aca="false">SLOPE(Returns!L4:L27,Returns!M4:M27)</f>
        <v>-0.0709778309237241</v>
      </c>
      <c r="F17" s="14" t="n">
        <f aca="false">Returns!L30</f>
        <v>0.142987616643286</v>
      </c>
      <c r="G17" s="20" t="n">
        <f aca="false">(F17-$B$4)/D17</f>
        <v>1.06621938990977</v>
      </c>
      <c r="H17" s="20" t="n">
        <f aca="false">(F17-$B$4)/E17</f>
        <v>-1.02831568242373</v>
      </c>
      <c r="I17" s="14" t="n">
        <f aca="false">MIN(Returns!E35:E58)</f>
        <v>-0.0493027373606048</v>
      </c>
      <c r="J17" s="15" t="n">
        <f aca="false">1.645*C17*Portfolio_Holdings!J14</f>
        <v>41123.8529733412</v>
      </c>
      <c r="K17" s="3"/>
    </row>
    <row r="19" customFormat="false" ht="15" hidden="false" customHeight="false" outlineLevel="0" collapsed="false">
      <c r="A19" s="21" t="s">
        <v>127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</sheetData>
  <mergeCells count="1"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8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6" t="s">
        <v>130</v>
      </c>
      <c r="B4" s="6" t="s">
        <v>69</v>
      </c>
      <c r="C4" s="6" t="s">
        <v>73</v>
      </c>
      <c r="D4" s="6" t="s">
        <v>76</v>
      </c>
      <c r="E4" s="6" t="s">
        <v>79</v>
      </c>
      <c r="F4" s="6" t="s">
        <v>83</v>
      </c>
      <c r="G4" s="6" t="s">
        <v>86</v>
      </c>
      <c r="H4" s="6" t="s">
        <v>90</v>
      </c>
      <c r="I4" s="6" t="s">
        <v>94</v>
      </c>
      <c r="J4" s="6" t="s">
        <v>98</v>
      </c>
      <c r="K4" s="6" t="s">
        <v>101</v>
      </c>
    </row>
    <row r="5" customFormat="false" ht="15" hidden="false" customHeight="false" outlineLevel="0" collapsed="false">
      <c r="A5" s="3" t="s">
        <v>69</v>
      </c>
      <c r="B5" s="22" t="n">
        <f aca="false">CORREL(Returns!B4:B27,Returns!B4:B27)</f>
        <v>1</v>
      </c>
      <c r="C5" s="22" t="n">
        <f aca="false">CORREL(Returns!B4:B27,Returns!C4:C27)</f>
        <v>0.0596886084316967</v>
      </c>
      <c r="D5" s="22" t="n">
        <f aca="false">CORREL(Returns!B4:B27,Returns!D4:D27)</f>
        <v>0.0996184216339124</v>
      </c>
      <c r="E5" s="22" t="n">
        <f aca="false">CORREL(Returns!B4:B27,Returns!E4:E27)</f>
        <v>-0.14813357996271</v>
      </c>
      <c r="F5" s="22" t="n">
        <f aca="false">CORREL(Returns!B4:B27,Returns!F4:F27)</f>
        <v>0.0840879884773413</v>
      </c>
      <c r="G5" s="22" t="n">
        <f aca="false">CORREL(Returns!B4:B27,Returns!G4:G27)</f>
        <v>-0.100322150140532</v>
      </c>
      <c r="H5" s="22" t="n">
        <f aca="false">CORREL(Returns!B4:B27,Returns!H4:H27)</f>
        <v>0.0154284965534589</v>
      </c>
      <c r="I5" s="22" t="n">
        <f aca="false">CORREL(Returns!B4:B27,Returns!I4:I27)</f>
        <v>0.0124849877200349</v>
      </c>
      <c r="J5" s="22" t="n">
        <f aca="false">CORREL(Returns!B4:B27,Returns!J4:J27)</f>
        <v>-0.015478017775594</v>
      </c>
      <c r="K5" s="22" t="n">
        <f aca="false">CORREL(Returns!B4:B27,Returns!K4:K27)</f>
        <v>-0.308753122095426</v>
      </c>
    </row>
    <row r="6" customFormat="false" ht="15" hidden="false" customHeight="false" outlineLevel="0" collapsed="false">
      <c r="A6" s="3" t="s">
        <v>73</v>
      </c>
      <c r="B6" s="22" t="n">
        <f aca="false">CORREL(Returns!C4:C27,Returns!B4:B27)</f>
        <v>0.0596886084316967</v>
      </c>
      <c r="C6" s="22" t="n">
        <f aca="false">CORREL(Returns!C4:C27,Returns!C4:C27)</f>
        <v>1</v>
      </c>
      <c r="D6" s="22" t="n">
        <f aca="false">CORREL(Returns!C4:C27,Returns!D4:D27)</f>
        <v>0.219804182870071</v>
      </c>
      <c r="E6" s="22" t="n">
        <f aca="false">CORREL(Returns!C4:C27,Returns!E4:E27)</f>
        <v>-0.0289672668289154</v>
      </c>
      <c r="F6" s="22" t="n">
        <f aca="false">CORREL(Returns!C4:C27,Returns!F4:F27)</f>
        <v>0.262896263938749</v>
      </c>
      <c r="G6" s="22" t="n">
        <f aca="false">CORREL(Returns!C4:C27,Returns!G4:G27)</f>
        <v>-0.26847183029004</v>
      </c>
      <c r="H6" s="22" t="n">
        <f aca="false">CORREL(Returns!C4:C27,Returns!H4:H27)</f>
        <v>0.204063300387038</v>
      </c>
      <c r="I6" s="22" t="n">
        <f aca="false">CORREL(Returns!C4:C27,Returns!I4:I27)</f>
        <v>0.206343721101366</v>
      </c>
      <c r="J6" s="22" t="n">
        <f aca="false">CORREL(Returns!C4:C27,Returns!J4:J27)</f>
        <v>-0.0138651664523597</v>
      </c>
      <c r="K6" s="22" t="n">
        <f aca="false">CORREL(Returns!C4:C27,Returns!K4:K27)</f>
        <v>-0.0256770112208636</v>
      </c>
    </row>
    <row r="7" customFormat="false" ht="15" hidden="false" customHeight="false" outlineLevel="0" collapsed="false">
      <c r="A7" s="3" t="s">
        <v>76</v>
      </c>
      <c r="B7" s="22" t="n">
        <f aca="false">CORREL(Returns!D4:D27,Returns!B4:B27)</f>
        <v>0.0996184216339124</v>
      </c>
      <c r="C7" s="22" t="n">
        <f aca="false">CORREL(Returns!D4:D27,Returns!C4:C27)</f>
        <v>0.219804182870071</v>
      </c>
      <c r="D7" s="22" t="n">
        <f aca="false">CORREL(Returns!D4:D27,Returns!D4:D27)</f>
        <v>1</v>
      </c>
      <c r="E7" s="22" t="n">
        <f aca="false">CORREL(Returns!D4:D27,Returns!E4:E27)</f>
        <v>-0.389689196914531</v>
      </c>
      <c r="F7" s="22" t="n">
        <f aca="false">CORREL(Returns!D4:D27,Returns!F4:F27)</f>
        <v>0.433286085895981</v>
      </c>
      <c r="G7" s="22" t="n">
        <f aca="false">CORREL(Returns!D4:D27,Returns!G4:G27)</f>
        <v>-0.0818026492155293</v>
      </c>
      <c r="H7" s="22" t="n">
        <f aca="false">CORREL(Returns!D4:D27,Returns!H4:H27)</f>
        <v>0.046773905006641</v>
      </c>
      <c r="I7" s="22" t="n">
        <f aca="false">CORREL(Returns!D4:D27,Returns!I4:I27)</f>
        <v>0.410137768319833</v>
      </c>
      <c r="J7" s="22" t="n">
        <f aca="false">CORREL(Returns!D4:D27,Returns!J4:J27)</f>
        <v>0.440812170843908</v>
      </c>
      <c r="K7" s="22" t="n">
        <f aca="false">CORREL(Returns!D4:D27,Returns!K4:K27)</f>
        <v>-0.16802920146756</v>
      </c>
    </row>
    <row r="8" customFormat="false" ht="15" hidden="false" customHeight="false" outlineLevel="0" collapsed="false">
      <c r="A8" s="3" t="s">
        <v>79</v>
      </c>
      <c r="B8" s="22" t="n">
        <f aca="false">CORREL(Returns!E4:E27,Returns!B4:B27)</f>
        <v>-0.14813357996271</v>
      </c>
      <c r="C8" s="22" t="n">
        <f aca="false">CORREL(Returns!E4:E27,Returns!C4:C27)</f>
        <v>-0.0289672668289154</v>
      </c>
      <c r="D8" s="22" t="n">
        <f aca="false">CORREL(Returns!E4:E27,Returns!D4:D27)</f>
        <v>-0.389689196914531</v>
      </c>
      <c r="E8" s="22" t="n">
        <f aca="false">CORREL(Returns!E4:E27,Returns!E4:E27)</f>
        <v>1</v>
      </c>
      <c r="F8" s="22" t="n">
        <f aca="false">CORREL(Returns!E4:E27,Returns!F4:F27)</f>
        <v>0.151755149690494</v>
      </c>
      <c r="G8" s="22" t="n">
        <f aca="false">CORREL(Returns!E4:E27,Returns!G4:G27)</f>
        <v>-0.390039303694238</v>
      </c>
      <c r="H8" s="22" t="n">
        <f aca="false">CORREL(Returns!E4:E27,Returns!H4:H27)</f>
        <v>-0.0929330332968902</v>
      </c>
      <c r="I8" s="22" t="n">
        <f aca="false">CORREL(Returns!E4:E27,Returns!I4:I27)</f>
        <v>-0.135218077423955</v>
      </c>
      <c r="J8" s="22" t="n">
        <f aca="false">CORREL(Returns!E4:E27,Returns!J4:J27)</f>
        <v>0.225217665241032</v>
      </c>
      <c r="K8" s="22" t="n">
        <f aca="false">CORREL(Returns!E4:E27,Returns!K4:K27)</f>
        <v>0.255287662394122</v>
      </c>
    </row>
    <row r="9" customFormat="false" ht="15" hidden="false" customHeight="false" outlineLevel="0" collapsed="false">
      <c r="A9" s="3" t="s">
        <v>83</v>
      </c>
      <c r="B9" s="22" t="n">
        <f aca="false">CORREL(Returns!F4:F27,Returns!B4:B27)</f>
        <v>0.0840879884773413</v>
      </c>
      <c r="C9" s="22" t="n">
        <f aca="false">CORREL(Returns!F4:F27,Returns!C4:C27)</f>
        <v>0.262896263938749</v>
      </c>
      <c r="D9" s="22" t="n">
        <f aca="false">CORREL(Returns!F4:F27,Returns!D4:D27)</f>
        <v>0.433286085895981</v>
      </c>
      <c r="E9" s="22" t="n">
        <f aca="false">CORREL(Returns!F4:F27,Returns!E4:E27)</f>
        <v>0.151755149690494</v>
      </c>
      <c r="F9" s="22" t="n">
        <f aca="false">CORREL(Returns!F4:F27,Returns!F4:F27)</f>
        <v>1</v>
      </c>
      <c r="G9" s="22" t="n">
        <f aca="false">CORREL(Returns!F4:F27,Returns!G4:G27)</f>
        <v>-0.298346204308439</v>
      </c>
      <c r="H9" s="22" t="n">
        <f aca="false">CORREL(Returns!F4:F27,Returns!H4:H27)</f>
        <v>0.291885124175726</v>
      </c>
      <c r="I9" s="22" t="n">
        <f aca="false">CORREL(Returns!F4:F27,Returns!I4:I27)</f>
        <v>0.275337679699585</v>
      </c>
      <c r="J9" s="22" t="n">
        <f aca="false">CORREL(Returns!F4:F27,Returns!J4:J27)</f>
        <v>0.506660505730579</v>
      </c>
      <c r="K9" s="22" t="n">
        <f aca="false">CORREL(Returns!F4:F27,Returns!K4:K27)</f>
        <v>-0.0896508623882699</v>
      </c>
    </row>
    <row r="10" customFormat="false" ht="15" hidden="false" customHeight="false" outlineLevel="0" collapsed="false">
      <c r="A10" s="3" t="s">
        <v>86</v>
      </c>
      <c r="B10" s="22" t="n">
        <f aca="false">CORREL(Returns!G4:G27,Returns!B4:B27)</f>
        <v>-0.100322150140532</v>
      </c>
      <c r="C10" s="22" t="n">
        <f aca="false">CORREL(Returns!G4:G27,Returns!C4:C27)</f>
        <v>-0.26847183029004</v>
      </c>
      <c r="D10" s="22" t="n">
        <f aca="false">CORREL(Returns!G4:G27,Returns!D4:D27)</f>
        <v>-0.0818026492155293</v>
      </c>
      <c r="E10" s="22" t="n">
        <f aca="false">CORREL(Returns!G4:G27,Returns!E4:E27)</f>
        <v>-0.390039303694238</v>
      </c>
      <c r="F10" s="22" t="n">
        <f aca="false">CORREL(Returns!G4:G27,Returns!F4:F27)</f>
        <v>-0.298346204308439</v>
      </c>
      <c r="G10" s="22" t="n">
        <f aca="false">CORREL(Returns!G4:G27,Returns!G4:G27)</f>
        <v>1</v>
      </c>
      <c r="H10" s="22" t="n">
        <f aca="false">CORREL(Returns!G4:G27,Returns!H4:H27)</f>
        <v>0.111724508431989</v>
      </c>
      <c r="I10" s="22" t="n">
        <f aca="false">CORREL(Returns!G4:G27,Returns!I4:I27)</f>
        <v>0.00253246651066055</v>
      </c>
      <c r="J10" s="22" t="n">
        <f aca="false">CORREL(Returns!G4:G27,Returns!J4:J27)</f>
        <v>0.0272147544942312</v>
      </c>
      <c r="K10" s="22" t="n">
        <f aca="false">CORREL(Returns!G4:G27,Returns!K4:K27)</f>
        <v>-0.0162953813173355</v>
      </c>
    </row>
    <row r="11" customFormat="false" ht="15" hidden="false" customHeight="false" outlineLevel="0" collapsed="false">
      <c r="A11" s="3" t="s">
        <v>90</v>
      </c>
      <c r="B11" s="22" t="n">
        <f aca="false">CORREL(Returns!H4:H27,Returns!B4:B27)</f>
        <v>0.0154284965534589</v>
      </c>
      <c r="C11" s="22" t="n">
        <f aca="false">CORREL(Returns!H4:H27,Returns!C4:C27)</f>
        <v>0.204063300387038</v>
      </c>
      <c r="D11" s="22" t="n">
        <f aca="false">CORREL(Returns!H4:H27,Returns!D4:D27)</f>
        <v>0.046773905006641</v>
      </c>
      <c r="E11" s="22" t="n">
        <f aca="false">CORREL(Returns!H4:H27,Returns!E4:E27)</f>
        <v>-0.0929330332968902</v>
      </c>
      <c r="F11" s="22" t="n">
        <f aca="false">CORREL(Returns!H4:H27,Returns!F4:F27)</f>
        <v>0.291885124175726</v>
      </c>
      <c r="G11" s="22" t="n">
        <f aca="false">CORREL(Returns!H4:H27,Returns!G4:G27)</f>
        <v>0.111724508431989</v>
      </c>
      <c r="H11" s="22" t="n">
        <f aca="false">CORREL(Returns!H4:H27,Returns!H4:H27)</f>
        <v>1</v>
      </c>
      <c r="I11" s="22" t="n">
        <f aca="false">CORREL(Returns!H4:H27,Returns!I4:I27)</f>
        <v>0.18852894619554</v>
      </c>
      <c r="J11" s="22" t="n">
        <f aca="false">CORREL(Returns!H4:H27,Returns!J4:J27)</f>
        <v>-0.145834285025803</v>
      </c>
      <c r="K11" s="22" t="n">
        <f aca="false">CORREL(Returns!H4:H27,Returns!K4:K27)</f>
        <v>0.123784941840888</v>
      </c>
    </row>
    <row r="12" customFormat="false" ht="15" hidden="false" customHeight="false" outlineLevel="0" collapsed="false">
      <c r="A12" s="3" t="s">
        <v>94</v>
      </c>
      <c r="B12" s="22" t="n">
        <f aca="false">CORREL(Returns!I4:I27,Returns!B4:B27)</f>
        <v>0.0124849877200349</v>
      </c>
      <c r="C12" s="22" t="n">
        <f aca="false">CORREL(Returns!I4:I27,Returns!C4:C27)</f>
        <v>0.206343721101366</v>
      </c>
      <c r="D12" s="22" t="n">
        <f aca="false">CORREL(Returns!I4:I27,Returns!D4:D27)</f>
        <v>0.410137768319833</v>
      </c>
      <c r="E12" s="22" t="n">
        <f aca="false">CORREL(Returns!I4:I27,Returns!E4:E27)</f>
        <v>-0.135218077423955</v>
      </c>
      <c r="F12" s="22" t="n">
        <f aca="false">CORREL(Returns!I4:I27,Returns!F4:F27)</f>
        <v>0.275337679699585</v>
      </c>
      <c r="G12" s="22" t="n">
        <f aca="false">CORREL(Returns!I4:I27,Returns!G4:G27)</f>
        <v>0.00253246651066055</v>
      </c>
      <c r="H12" s="22" t="n">
        <f aca="false">CORREL(Returns!I4:I27,Returns!H4:H27)</f>
        <v>0.18852894619554</v>
      </c>
      <c r="I12" s="22" t="n">
        <f aca="false">CORREL(Returns!I4:I27,Returns!I4:I27)</f>
        <v>1</v>
      </c>
      <c r="J12" s="22" t="n">
        <f aca="false">CORREL(Returns!I4:I27,Returns!J4:J27)</f>
        <v>0.185723653564291</v>
      </c>
      <c r="K12" s="22" t="n">
        <f aca="false">CORREL(Returns!I4:I27,Returns!K4:K27)</f>
        <v>0.0120006464224256</v>
      </c>
    </row>
    <row r="13" customFormat="false" ht="15" hidden="false" customHeight="false" outlineLevel="0" collapsed="false">
      <c r="A13" s="3" t="s">
        <v>98</v>
      </c>
      <c r="B13" s="22" t="n">
        <f aca="false">CORREL(Returns!J4:J27,Returns!B4:B27)</f>
        <v>-0.015478017775594</v>
      </c>
      <c r="C13" s="22" t="n">
        <f aca="false">CORREL(Returns!J4:J27,Returns!C4:C27)</f>
        <v>-0.0138651664523597</v>
      </c>
      <c r="D13" s="22" t="n">
        <f aca="false">CORREL(Returns!J4:J27,Returns!D4:D27)</f>
        <v>0.440812170843908</v>
      </c>
      <c r="E13" s="22" t="n">
        <f aca="false">CORREL(Returns!J4:J27,Returns!E4:E27)</f>
        <v>0.225217665241032</v>
      </c>
      <c r="F13" s="22" t="n">
        <f aca="false">CORREL(Returns!J4:J27,Returns!F4:F27)</f>
        <v>0.506660505730579</v>
      </c>
      <c r="G13" s="22" t="n">
        <f aca="false">CORREL(Returns!J4:J27,Returns!G4:G27)</f>
        <v>0.0272147544942312</v>
      </c>
      <c r="H13" s="22" t="n">
        <f aca="false">CORREL(Returns!J4:J27,Returns!H4:H27)</f>
        <v>-0.145834285025803</v>
      </c>
      <c r="I13" s="22" t="n">
        <f aca="false">CORREL(Returns!J4:J27,Returns!I4:I27)</f>
        <v>0.185723653564291</v>
      </c>
      <c r="J13" s="22" t="n">
        <f aca="false">CORREL(Returns!J4:J27,Returns!J4:J27)</f>
        <v>1</v>
      </c>
      <c r="K13" s="22" t="n">
        <f aca="false">CORREL(Returns!J4:J27,Returns!K4:K27)</f>
        <v>-0.0624991694200732</v>
      </c>
    </row>
    <row r="14" customFormat="false" ht="15" hidden="false" customHeight="false" outlineLevel="0" collapsed="false">
      <c r="A14" s="3" t="s">
        <v>101</v>
      </c>
      <c r="B14" s="22" t="n">
        <f aca="false">CORREL(Returns!K4:K27,Returns!B4:B27)</f>
        <v>-0.308753122095426</v>
      </c>
      <c r="C14" s="22" t="n">
        <f aca="false">CORREL(Returns!K4:K27,Returns!C4:C27)</f>
        <v>-0.0256770112208636</v>
      </c>
      <c r="D14" s="22" t="n">
        <f aca="false">CORREL(Returns!K4:K27,Returns!D4:D27)</f>
        <v>-0.16802920146756</v>
      </c>
      <c r="E14" s="22" t="n">
        <f aca="false">CORREL(Returns!K4:K27,Returns!E4:E27)</f>
        <v>0.255287662394122</v>
      </c>
      <c r="F14" s="22" t="n">
        <f aca="false">CORREL(Returns!K4:K27,Returns!F4:F27)</f>
        <v>-0.0896508623882699</v>
      </c>
      <c r="G14" s="22" t="n">
        <f aca="false">CORREL(Returns!K4:K27,Returns!G4:G27)</f>
        <v>-0.0162953813173355</v>
      </c>
      <c r="H14" s="22" t="n">
        <f aca="false">CORREL(Returns!K4:K27,Returns!H4:H27)</f>
        <v>0.123784941840888</v>
      </c>
      <c r="I14" s="22" t="n">
        <f aca="false">CORREL(Returns!K4:K27,Returns!I4:I27)</f>
        <v>0.0120006464224256</v>
      </c>
      <c r="J14" s="22" t="n">
        <f aca="false">CORREL(Returns!K4:K27,Returns!J4:J27)</f>
        <v>-0.0624991694200732</v>
      </c>
      <c r="K14" s="22" t="n">
        <f aca="false">CORREL(Returns!K4:K27,Returns!K4:K27)</f>
        <v>1</v>
      </c>
    </row>
  </sheetData>
  <conditionalFormatting sqref="B5:K14">
    <cfRule type="colorScale" priority="2">
      <colorScale>
        <cfvo type="min" val="0"/>
        <cfvo type="num" val="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131</v>
      </c>
    </row>
    <row r="3" customFormat="false" ht="26.85" hidden="false" customHeight="false" outlineLevel="0" collapsed="false">
      <c r="A3" s="6" t="s">
        <v>19</v>
      </c>
      <c r="B3" s="6" t="s">
        <v>107</v>
      </c>
      <c r="C3" s="6" t="s">
        <v>108</v>
      </c>
      <c r="D3" s="6" t="s">
        <v>132</v>
      </c>
      <c r="E3" s="6" t="s">
        <v>133</v>
      </c>
      <c r="F3" s="6" t="s">
        <v>134</v>
      </c>
    </row>
    <row r="4" customFormat="false" ht="15" hidden="false" customHeight="false" outlineLevel="0" collapsed="false">
      <c r="A4" s="16" t="str">
        <f aca="false">Returns!A4</f>
        <v>2024-02-29</v>
      </c>
      <c r="B4" s="17" t="n">
        <f aca="false">Returns!L4</f>
        <v>0.0193799068256149</v>
      </c>
      <c r="C4" s="17" t="n">
        <f aca="false">Returns!M4</f>
        <v>-0.022700909090909</v>
      </c>
      <c r="D4" s="17" t="n">
        <f aca="false">B4-C4</f>
        <v>0.042080815916524</v>
      </c>
      <c r="E4" s="18" t="n">
        <f aca="false">100*(1+B4)</f>
        <v>101.937990682561</v>
      </c>
      <c r="F4" s="18" t="n">
        <f aca="false">100*(1+C4)</f>
        <v>97.7299090909091</v>
      </c>
    </row>
    <row r="5" customFormat="false" ht="15" hidden="false" customHeight="false" outlineLevel="0" collapsed="false">
      <c r="A5" s="16" t="str">
        <f aca="false">Returns!A5</f>
        <v>2024-03-31</v>
      </c>
      <c r="B5" s="17" t="n">
        <f aca="false">Returns!L5</f>
        <v>-0.00495335990888423</v>
      </c>
      <c r="C5" s="17" t="n">
        <f aca="false">Returns!M5</f>
        <v>0.00441057869136545</v>
      </c>
      <c r="D5" s="17" t="n">
        <f aca="false">B5-C5</f>
        <v>-0.00936393860024967</v>
      </c>
      <c r="E5" s="18" t="n">
        <f aca="false">E4*(1+B5)</f>
        <v>101.433055126322</v>
      </c>
      <c r="F5" s="18" t="n">
        <f aca="false">F4*(1+C5)</f>
        <v>98.1609545454545</v>
      </c>
    </row>
    <row r="6" customFormat="false" ht="15" hidden="false" customHeight="false" outlineLevel="0" collapsed="false">
      <c r="A6" s="16" t="str">
        <f aca="false">Returns!A6</f>
        <v>2024-04-30</v>
      </c>
      <c r="B6" s="17" t="n">
        <f aca="false">Returns!L6</f>
        <v>-0.00787155259287328</v>
      </c>
      <c r="C6" s="17" t="n">
        <f aca="false">Returns!M6</f>
        <v>0.0291992603983902</v>
      </c>
      <c r="D6" s="17" t="n">
        <f aca="false">B6-C6</f>
        <v>-0.0370708129912635</v>
      </c>
      <c r="E6" s="18" t="n">
        <f aca="false">E5*(1+B6)</f>
        <v>100.63461949824</v>
      </c>
      <c r="F6" s="18" t="n">
        <f aca="false">F5*(1+C6)</f>
        <v>101.027181818182</v>
      </c>
    </row>
    <row r="7" customFormat="false" ht="15" hidden="false" customHeight="false" outlineLevel="0" collapsed="false">
      <c r="A7" s="16" t="str">
        <f aca="false">Returns!A7</f>
        <v>2024-05-31</v>
      </c>
      <c r="B7" s="17" t="n">
        <f aca="false">Returns!L7</f>
        <v>0.00435532371949449</v>
      </c>
      <c r="C7" s="17" t="n">
        <f aca="false">Returns!M7</f>
        <v>0.0436300221632523</v>
      </c>
      <c r="D7" s="17" t="n">
        <f aca="false">B7-C7</f>
        <v>-0.0392746984437578</v>
      </c>
      <c r="E7" s="18" t="n">
        <f aca="false">E6*(1+B7)</f>
        <v>101.072915843543</v>
      </c>
      <c r="F7" s="18" t="n">
        <f aca="false">F6*(1+C7)</f>
        <v>105.435</v>
      </c>
    </row>
    <row r="8" customFormat="false" ht="15" hidden="false" customHeight="false" outlineLevel="0" collapsed="false">
      <c r="A8" s="16" t="str">
        <f aca="false">Returns!A8</f>
        <v>2024-06-30</v>
      </c>
      <c r="B8" s="17" t="n">
        <f aca="false">Returns!L8</f>
        <v>-0.00501274016242127</v>
      </c>
      <c r="C8" s="17" t="n">
        <f aca="false">Returns!M8</f>
        <v>-0.0390119720465431</v>
      </c>
      <c r="D8" s="17" t="n">
        <f aca="false">B8-C8</f>
        <v>0.0339992318841218</v>
      </c>
      <c r="E8" s="18" t="n">
        <f aca="false">E7*(1+B8)</f>
        <v>100.566263578961</v>
      </c>
      <c r="F8" s="18" t="n">
        <f aca="false">F7*(1+C8)</f>
        <v>101.321772727273</v>
      </c>
    </row>
    <row r="9" customFormat="false" ht="15" hidden="false" customHeight="false" outlineLevel="0" collapsed="false">
      <c r="A9" s="16" t="str">
        <f aca="false">Returns!A9</f>
        <v>2024-07-31</v>
      </c>
      <c r="B9" s="17" t="n">
        <f aca="false">Returns!L9</f>
        <v>0.0202903433181761</v>
      </c>
      <c r="C9" s="17" t="n">
        <f aca="false">Returns!M9</f>
        <v>-0.00437983579765459</v>
      </c>
      <c r="D9" s="17" t="n">
        <f aca="false">B9-C9</f>
        <v>0.0246701791158307</v>
      </c>
      <c r="E9" s="18" t="n">
        <f aca="false">E8*(1+B9)</f>
        <v>102.606787593204</v>
      </c>
      <c r="F9" s="18" t="n">
        <f aca="false">F8*(1+C9)</f>
        <v>100.878</v>
      </c>
    </row>
    <row r="10" customFormat="false" ht="15" hidden="false" customHeight="false" outlineLevel="0" collapsed="false">
      <c r="A10" s="16" t="str">
        <f aca="false">Returns!A10</f>
        <v>2024-08-31</v>
      </c>
      <c r="B10" s="17" t="n">
        <f aca="false">Returns!L10</f>
        <v>0.0268823962290359</v>
      </c>
      <c r="C10" s="17" t="n">
        <f aca="false">Returns!M10</f>
        <v>-0.00999767495931184</v>
      </c>
      <c r="D10" s="17" t="n">
        <f aca="false">B10-C10</f>
        <v>0.0368800711883477</v>
      </c>
      <c r="E10" s="18" t="n">
        <f aca="false">E9*(1+B10)</f>
        <v>105.365103913073</v>
      </c>
      <c r="F10" s="18" t="n">
        <f aca="false">F9*(1+C10)</f>
        <v>99.8694545454545</v>
      </c>
    </row>
    <row r="11" customFormat="false" ht="15" hidden="false" customHeight="false" outlineLevel="0" collapsed="false">
      <c r="A11" s="16" t="str">
        <f aca="false">Returns!A11</f>
        <v>2024-09-30</v>
      </c>
      <c r="B11" s="17" t="n">
        <f aca="false">Returns!L11</f>
        <v>0.0162025052788891</v>
      </c>
      <c r="C11" s="17" t="n">
        <f aca="false">Returns!M11</f>
        <v>-0.0171332758036855</v>
      </c>
      <c r="D11" s="17" t="n">
        <f aca="false">B11-C11</f>
        <v>0.0333357810825746</v>
      </c>
      <c r="E11" s="18" t="n">
        <f aca="false">E10*(1+B11)</f>
        <v>107.072282565435</v>
      </c>
      <c r="F11" s="18" t="n">
        <f aca="false">F10*(1+C11)</f>
        <v>98.1583636363636</v>
      </c>
    </row>
    <row r="12" customFormat="false" ht="15" hidden="false" customHeight="false" outlineLevel="0" collapsed="false">
      <c r="A12" s="16" t="str">
        <f aca="false">Returns!A12</f>
        <v>2024-10-31</v>
      </c>
      <c r="B12" s="17" t="n">
        <f aca="false">Returns!L12</f>
        <v>-0.00519982684750817</v>
      </c>
      <c r="C12" s="17" t="n">
        <f aca="false">Returns!M12</f>
        <v>0.0796180939520737</v>
      </c>
      <c r="D12" s="17" t="n">
        <f aca="false">B12-C12</f>
        <v>-0.0848179207995819</v>
      </c>
      <c r="E12" s="18" t="n">
        <f aca="false">E11*(1+B12)</f>
        <v>106.515525235928</v>
      </c>
      <c r="F12" s="18" t="n">
        <f aca="false">F11*(1+C12)</f>
        <v>105.973545454545</v>
      </c>
    </row>
    <row r="13" customFormat="false" ht="15" hidden="false" customHeight="false" outlineLevel="0" collapsed="false">
      <c r="A13" s="16" t="str">
        <f aca="false">Returns!A13</f>
        <v>2024-11-30</v>
      </c>
      <c r="B13" s="17" t="n">
        <f aca="false">Returns!L13</f>
        <v>0.0208478262642535</v>
      </c>
      <c r="C13" s="17" t="n">
        <f aca="false">Returns!M13</f>
        <v>0.025199256418197</v>
      </c>
      <c r="D13" s="17" t="n">
        <f aca="false">B13-C13</f>
        <v>-0.00435143015394348</v>
      </c>
      <c r="E13" s="18" t="n">
        <f aca="false">E12*(1+B13)</f>
        <v>108.736142400492</v>
      </c>
      <c r="F13" s="18" t="n">
        <f aca="false">F12*(1+C13)</f>
        <v>108.644</v>
      </c>
    </row>
    <row r="14" customFormat="false" ht="15" hidden="false" customHeight="false" outlineLevel="0" collapsed="false">
      <c r="A14" s="16" t="str">
        <f aca="false">Returns!A14</f>
        <v>2024-12-31</v>
      </c>
      <c r="B14" s="17" t="n">
        <f aca="false">Returns!L14</f>
        <v>0.0323573768951045</v>
      </c>
      <c r="C14" s="17" t="n">
        <f aca="false">Returns!M14</f>
        <v>-0.0414351627165956</v>
      </c>
      <c r="D14" s="17" t="n">
        <f aca="false">B14-C14</f>
        <v>0.0737925396117001</v>
      </c>
      <c r="E14" s="18" t="n">
        <f aca="false">E13*(1+B14)</f>
        <v>112.254558742264</v>
      </c>
      <c r="F14" s="18" t="n">
        <f aca="false">F13*(1+C14)</f>
        <v>104.142318181818</v>
      </c>
    </row>
    <row r="15" customFormat="false" ht="15" hidden="false" customHeight="false" outlineLevel="0" collapsed="false">
      <c r="A15" s="16" t="str">
        <f aca="false">Returns!A15</f>
        <v>2025-01-31</v>
      </c>
      <c r="B15" s="17" t="n">
        <f aca="false">Returns!L15</f>
        <v>0.0252175546612929</v>
      </c>
      <c r="C15" s="17" t="n">
        <f aca="false">Returns!M15</f>
        <v>0.0457145401114121</v>
      </c>
      <c r="D15" s="17" t="n">
        <f aca="false">B15-C15</f>
        <v>-0.0204969854501192</v>
      </c>
      <c r="E15" s="18" t="n">
        <f aca="false">E14*(1+B15)</f>
        <v>115.085344213327</v>
      </c>
      <c r="F15" s="18" t="n">
        <f aca="false">F14*(1+C15)</f>
        <v>108.903136363636</v>
      </c>
    </row>
    <row r="16" customFormat="false" ht="15" hidden="false" customHeight="false" outlineLevel="0" collapsed="false">
      <c r="A16" s="16" t="str">
        <f aca="false">Returns!A16</f>
        <v>2025-02-28</v>
      </c>
      <c r="B16" s="17" t="n">
        <f aca="false">Returns!L16</f>
        <v>0.0115074055481384</v>
      </c>
      <c r="C16" s="17" t="n">
        <f aca="false">Returns!M16</f>
        <v>0.0938861849291428</v>
      </c>
      <c r="D16" s="17" t="n">
        <f aca="false">B16-C16</f>
        <v>-0.0823787793810044</v>
      </c>
      <c r="E16" s="18" t="n">
        <f aca="false">E15*(1+B16)</f>
        <v>116.409677941837</v>
      </c>
      <c r="F16" s="18" t="n">
        <f aca="false">F15*(1+C16)</f>
        <v>119.127636363636</v>
      </c>
    </row>
    <row r="17" customFormat="false" ht="15" hidden="false" customHeight="false" outlineLevel="0" collapsed="false">
      <c r="A17" s="16" t="str">
        <f aca="false">Returns!A17</f>
        <v>2025-03-31</v>
      </c>
      <c r="B17" s="17" t="n">
        <f aca="false">Returns!L17</f>
        <v>-0.015541539143156</v>
      </c>
      <c r="C17" s="17" t="n">
        <f aca="false">Returns!M17</f>
        <v>0.0502986101996025</v>
      </c>
      <c r="D17" s="17" t="n">
        <f aca="false">B17-C17</f>
        <v>-0.0658401493427585</v>
      </c>
      <c r="E17" s="18" t="n">
        <f aca="false">E16*(1+B17)</f>
        <v>114.600492375461</v>
      </c>
      <c r="F17" s="18" t="n">
        <f aca="false">F16*(1+C17)</f>
        <v>125.119590909091</v>
      </c>
    </row>
    <row r="18" customFormat="false" ht="15" hidden="false" customHeight="false" outlineLevel="0" collapsed="false">
      <c r="A18" s="16" t="str">
        <f aca="false">Returns!A18</f>
        <v>2025-04-30</v>
      </c>
      <c r="B18" s="17" t="n">
        <f aca="false">Returns!L18</f>
        <v>-0.0342941825986887</v>
      </c>
      <c r="C18" s="17" t="n">
        <f aca="false">Returns!M18</f>
        <v>-0.051774829245184</v>
      </c>
      <c r="D18" s="17" t="n">
        <f aca="false">B18-C18</f>
        <v>0.0174806466464953</v>
      </c>
      <c r="E18" s="18" t="n">
        <f aca="false">E17*(1+B18)</f>
        <v>110.670362164038</v>
      </c>
      <c r="F18" s="18" t="n">
        <f aca="false">F17*(1+C18)</f>
        <v>118.641545454545</v>
      </c>
    </row>
    <row r="19" customFormat="false" ht="15" hidden="false" customHeight="false" outlineLevel="0" collapsed="false">
      <c r="A19" s="16" t="str">
        <f aca="false">Returns!A19</f>
        <v>2025-05-31</v>
      </c>
      <c r="B19" s="17" t="n">
        <f aca="false">Returns!L19</f>
        <v>0.0108500649746672</v>
      </c>
      <c r="C19" s="17" t="n">
        <f aca="false">Returns!M19</f>
        <v>-0.0103692788897342</v>
      </c>
      <c r="D19" s="17" t="n">
        <f aca="false">B19-C19</f>
        <v>0.0212193438644014</v>
      </c>
      <c r="E19" s="18" t="n">
        <f aca="false">E18*(1+B19)</f>
        <v>111.871142784287</v>
      </c>
      <c r="F19" s="18" t="n">
        <f aca="false">F18*(1+C19)</f>
        <v>117.411318181818</v>
      </c>
    </row>
    <row r="20" customFormat="false" ht="15" hidden="false" customHeight="false" outlineLevel="0" collapsed="false">
      <c r="A20" s="16" t="str">
        <f aca="false">Returns!A20</f>
        <v>2025-06-30</v>
      </c>
      <c r="B20" s="17" t="n">
        <f aca="false">Returns!L20</f>
        <v>0.00594338519938295</v>
      </c>
      <c r="C20" s="17" t="n">
        <f aca="false">Returns!M20</f>
        <v>0.0596763747029188</v>
      </c>
      <c r="D20" s="17" t="n">
        <f aca="false">B20-C20</f>
        <v>-0.0537329895035359</v>
      </c>
      <c r="E20" s="18" t="n">
        <f aca="false">E19*(1+B20)</f>
        <v>112.53603607855</v>
      </c>
      <c r="F20" s="18" t="n">
        <f aca="false">F19*(1+C20)</f>
        <v>124.418</v>
      </c>
    </row>
    <row r="21" customFormat="false" ht="15" hidden="false" customHeight="false" outlineLevel="0" collapsed="false">
      <c r="A21" s="16" t="str">
        <f aca="false">Returns!A21</f>
        <v>2025-07-31</v>
      </c>
      <c r="B21" s="17" t="n">
        <f aca="false">Returns!L21</f>
        <v>0.0657955903389338</v>
      </c>
      <c r="C21" s="17" t="n">
        <f aca="false">Returns!M21</f>
        <v>-0.0193066188902804</v>
      </c>
      <c r="D21" s="17" t="n">
        <f aca="false">B21-C21</f>
        <v>0.0851022092292142</v>
      </c>
      <c r="E21" s="18" t="n">
        <f aca="false">E20*(1+B21)</f>
        <v>119.940411006741</v>
      </c>
      <c r="F21" s="18" t="n">
        <f aca="false">F20*(1+C21)</f>
        <v>122.015909090909</v>
      </c>
    </row>
    <row r="22" customFormat="false" ht="15" hidden="false" customHeight="false" outlineLevel="0" collapsed="false">
      <c r="A22" s="16" t="str">
        <f aca="false">Returns!A22</f>
        <v>2025-08-31</v>
      </c>
      <c r="B22" s="17" t="n">
        <f aca="false">Returns!L22</f>
        <v>0.0191534238811695</v>
      </c>
      <c r="C22" s="17" t="n">
        <f aca="false">Returns!M22</f>
        <v>0.0267528451952987</v>
      </c>
      <c r="D22" s="17" t="n">
        <f aca="false">B22-C22</f>
        <v>-0.00759942131412917</v>
      </c>
      <c r="E22" s="18" t="n">
        <f aca="false">E21*(1+B22)</f>
        <v>122.237680539235</v>
      </c>
      <c r="F22" s="18" t="n">
        <f aca="false">F21*(1+C22)</f>
        <v>125.280181818182</v>
      </c>
    </row>
    <row r="23" customFormat="false" ht="15" hidden="false" customHeight="false" outlineLevel="0" collapsed="false">
      <c r="A23" s="16" t="str">
        <f aca="false">Returns!A23</f>
        <v>2025-09-30</v>
      </c>
      <c r="B23" s="17" t="n">
        <f aca="false">Returns!L23</f>
        <v>0.0139772548282882</v>
      </c>
      <c r="C23" s="17" t="n">
        <f aca="false">Returns!M23</f>
        <v>0.0399852838945724</v>
      </c>
      <c r="D23" s="17" t="n">
        <f aca="false">B23-C23</f>
        <v>-0.0260080290662842</v>
      </c>
      <c r="E23" s="18" t="n">
        <f aca="false">E22*(1+B23)</f>
        <v>123.946227749751</v>
      </c>
      <c r="F23" s="18" t="n">
        <f aca="false">F22*(1+C23)</f>
        <v>130.289545454545</v>
      </c>
    </row>
    <row r="24" customFormat="false" ht="15" hidden="false" customHeight="false" outlineLevel="0" collapsed="false">
      <c r="A24" s="16" t="str">
        <f aca="false">Returns!A24</f>
        <v>2025-10-31</v>
      </c>
      <c r="B24" s="17" t="n">
        <f aca="false">Returns!L24</f>
        <v>0.0191178888927871</v>
      </c>
      <c r="C24" s="17" t="n">
        <f aca="false">Returns!M24</f>
        <v>-0.0280773242812337</v>
      </c>
      <c r="D24" s="17" t="n">
        <f aca="false">B24-C24</f>
        <v>0.0471952131740208</v>
      </c>
      <c r="E24" s="18" t="n">
        <f aca="false">E23*(1+B24)</f>
        <v>126.315817960551</v>
      </c>
      <c r="F24" s="18" t="n">
        <f aca="false">F23*(1+C24)</f>
        <v>126.631363636364</v>
      </c>
    </row>
    <row r="25" customFormat="false" ht="15" hidden="false" customHeight="false" outlineLevel="0" collapsed="false">
      <c r="A25" s="16" t="str">
        <f aca="false">Returns!A25</f>
        <v>2025-11-30</v>
      </c>
      <c r="B25" s="17" t="n">
        <f aca="false">Returns!L25</f>
        <v>-0.00625049049051081</v>
      </c>
      <c r="C25" s="17" t="n">
        <f aca="false">Returns!M25</f>
        <v>0.00661906966893875</v>
      </c>
      <c r="D25" s="17" t="n">
        <f aca="false">B25-C25</f>
        <v>-0.0128695601594496</v>
      </c>
      <c r="E25" s="18" t="n">
        <f aca="false">E24*(1+B25)</f>
        <v>125.526282141587</v>
      </c>
      <c r="F25" s="18" t="n">
        <f aca="false">F24*(1+C25)</f>
        <v>127.469545454545</v>
      </c>
    </row>
    <row r="26" customFormat="false" ht="15" hidden="false" customHeight="false" outlineLevel="0" collapsed="false">
      <c r="A26" s="16" t="str">
        <f aca="false">Returns!A26</f>
        <v>2025-12-31</v>
      </c>
      <c r="B26" s="17" t="n">
        <f aca="false">Returns!L26</f>
        <v>0.0140240416047159</v>
      </c>
      <c r="C26" s="17" t="n">
        <f aca="false">Returns!M26</f>
        <v>-0.120650565375687</v>
      </c>
      <c r="D26" s="17" t="n">
        <f aca="false">B26-C26</f>
        <v>0.134674606980403</v>
      </c>
      <c r="E26" s="18" t="n">
        <f aca="false">E25*(1+B26)</f>
        <v>127.286667944826</v>
      </c>
      <c r="F26" s="18" t="n">
        <f aca="false">F25*(1+C26)</f>
        <v>112.090272727273</v>
      </c>
    </row>
    <row r="27" customFormat="false" ht="15" hidden="false" customHeight="false" outlineLevel="0" collapsed="false">
      <c r="A27" s="16" t="str">
        <f aca="false">Returns!A27</f>
        <v>2026-01-31</v>
      </c>
      <c r="B27" s="17" t="n">
        <f aca="false">Returns!L27</f>
        <v>0.0391966365706691</v>
      </c>
      <c r="C27" s="17" t="n">
        <f aca="false">Returns!M27</f>
        <v>-0.0319754451160713</v>
      </c>
      <c r="D27" s="17" t="n">
        <f aca="false">B27-C27</f>
        <v>0.0711720816867404</v>
      </c>
      <c r="E27" s="18" t="n">
        <f aca="false">E26*(1+B27)</f>
        <v>132.275877208551</v>
      </c>
      <c r="F27" s="18" t="n">
        <f aca="false">F26*(1+C27)</f>
        <v>108.506136363636</v>
      </c>
    </row>
    <row r="29" customFormat="false" ht="15" hidden="false" customHeight="false" outlineLevel="0" collapsed="false">
      <c r="A29" s="3" t="s">
        <v>135</v>
      </c>
      <c r="B29" s="13" t="n">
        <f aca="false">Risk_Analysis!D17</f>
        <v>0.0684545951180481</v>
      </c>
    </row>
    <row r="30" customFormat="false" ht="15" hidden="false" customHeight="false" outlineLevel="0" collapsed="false">
      <c r="A30" s="3" t="s">
        <v>136</v>
      </c>
      <c r="B30" s="13" t="n">
        <f aca="false">STDEVP(C4:C27)*SQRT(12)</f>
        <v>0.161726819887453</v>
      </c>
    </row>
    <row r="31" customFormat="false" ht="15" hidden="false" customHeight="false" outlineLevel="0" collapsed="false">
      <c r="A31" s="3" t="s">
        <v>137</v>
      </c>
      <c r="B31" s="13" t="n">
        <f aca="false">Risk_Analysis!I17</f>
        <v>-0.0493027373606048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26.85" hidden="false" customHeight="false" outlineLevel="0" collapsed="false">
      <c r="A4" s="6" t="s">
        <v>140</v>
      </c>
      <c r="B4" s="6" t="s">
        <v>141</v>
      </c>
      <c r="C4" s="6" t="s">
        <v>142</v>
      </c>
      <c r="D4" s="6" t="s">
        <v>143</v>
      </c>
      <c r="E4" s="6" t="s">
        <v>144</v>
      </c>
    </row>
    <row r="5" customFormat="false" ht="15" hidden="false" customHeight="false" outlineLevel="0" collapsed="false">
      <c r="A5" s="0" t="s">
        <v>145</v>
      </c>
      <c r="B5" s="0" t="s">
        <v>146</v>
      </c>
      <c r="C5" s="0" t="s">
        <v>147</v>
      </c>
      <c r="D5" s="17" t="n">
        <f aca="false">Portfolio_Holdings!K4*0.1+Portfolio_Holdings!K5*0.1+Portfolio_Holdings!K6*0.1+Portfolio_Holdings!K7*0.1+Portfolio_Holdings!K8*0.1+Portfolio_Holdings!K9*0.1+Portfolio_Holdings!K10*0.1+Portfolio_Holdings!K11*0.1+Portfolio_Holdings!K12*0.1+Portfolio_Holdings!K13*0.1</f>
        <v>0.1</v>
      </c>
      <c r="E5" s="8" t="n">
        <f aca="false">D5*Portfolio_Holdings!$O$1</f>
        <v>100000</v>
      </c>
    </row>
    <row r="6" customFormat="false" ht="15" hidden="false" customHeight="false" outlineLevel="0" collapsed="false">
      <c r="A6" s="0" t="s">
        <v>148</v>
      </c>
      <c r="B6" s="0" t="s">
        <v>149</v>
      </c>
      <c r="C6" s="0" t="s">
        <v>147</v>
      </c>
      <c r="D6" s="17" t="n">
        <f aca="false">Portfolio_Holdings!K4*-0.1+Portfolio_Holdings!K5*-0.1+Portfolio_Holdings!K6*-0.1+Portfolio_Holdings!K7*-0.1+Portfolio_Holdings!K8*-0.1+Portfolio_Holdings!K9*-0.1+Portfolio_Holdings!K10*-0.1+Portfolio_Holdings!K11*-0.1+Portfolio_Holdings!K12*-0.1+Portfolio_Holdings!K13*-0.1</f>
        <v>-0.1</v>
      </c>
      <c r="E6" s="8" t="n">
        <f aca="false">D6*Portfolio_Holdings!$O$1</f>
        <v>-100000</v>
      </c>
    </row>
    <row r="7" customFormat="false" ht="15" hidden="false" customHeight="false" outlineLevel="0" collapsed="false">
      <c r="A7" s="0" t="s">
        <v>150</v>
      </c>
      <c r="B7" s="0" t="s">
        <v>151</v>
      </c>
      <c r="C7" s="0" t="s">
        <v>152</v>
      </c>
      <c r="D7" s="17" t="n">
        <f aca="false">Portfolio_Holdings!K5*-0.2+Portfolio_Holdings!K6*-0.2+Portfolio_Holdings!K8*-0.2</f>
        <v>-0.0569005199868711</v>
      </c>
      <c r="E7" s="8" t="n">
        <f aca="false">D7*Portfolio_Holdings!$O$1</f>
        <v>-56900.5199868711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0" t="s">
        <v>80</v>
      </c>
      <c r="D8" s="17" t="n">
        <f aca="false">Portfolio_Holdings!K7*-0.15</f>
        <v>-0.0154874944917558</v>
      </c>
      <c r="E8" s="8" t="n">
        <f aca="false">D8*Portfolio_Holdings!$O$1</f>
        <v>-15487.4944917558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0" t="s">
        <v>157</v>
      </c>
      <c r="D9" s="17" t="n">
        <f aca="false">Portfolio_Holdings!K4*-0.05+Portfolio_Holdings!K5*-0.05+Portfolio_Holdings!K6*-0.05+Portfolio_Holdings!K7*-0.05+Portfolio_Holdings!K8*-0.05+Portfolio_Holdings!K9*-0.05+Portfolio_Holdings!K10*-0.05+Portfolio_Holdings!K11*-0.05+Portfolio_Holdings!K12*0.08+Portfolio_Holdings!K13*0</f>
        <v>-0.029970913245441</v>
      </c>
      <c r="E9" s="8" t="n">
        <f aca="false">D9*Portfolio_Holdings!$O$1</f>
        <v>-29970.913245441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158</v>
      </c>
    </row>
    <row r="3" customFormat="false" ht="26.85" hidden="false" customHeight="false" outlineLevel="0" collapsed="false">
      <c r="A3" s="6" t="s">
        <v>58</v>
      </c>
      <c r="B3" s="6" t="s">
        <v>59</v>
      </c>
      <c r="C3" s="6" t="s">
        <v>159</v>
      </c>
      <c r="D3" s="6" t="s">
        <v>64</v>
      </c>
      <c r="E3" s="6" t="s">
        <v>160</v>
      </c>
      <c r="F3" s="6" t="s">
        <v>161</v>
      </c>
      <c r="G3" s="6" t="s">
        <v>162</v>
      </c>
    </row>
    <row r="4" customFormat="false" ht="15" hidden="false" customHeight="false" outlineLevel="0" collapsed="false">
      <c r="A4" s="0" t="s">
        <v>69</v>
      </c>
      <c r="B4" s="0" t="str">
        <f aca="false">Portfolio_Holdings!B4</f>
        <v>Reliance Industries</v>
      </c>
      <c r="C4" s="13" t="n">
        <f aca="false">Portfolio_Holdings!K4</f>
        <v>0.100739130030818</v>
      </c>
      <c r="D4" s="12" t="n">
        <v>0.1</v>
      </c>
      <c r="E4" s="13" t="n">
        <f aca="false">D4-C4</f>
        <v>-0.000739130030818047</v>
      </c>
      <c r="F4" s="0" t="str">
        <f aca="false">IF(E4&gt;0.005,"BUY",IF(E4&lt;-0.005,"SELL","HOLD"))</f>
        <v>HOLD</v>
      </c>
      <c r="G4" s="8" t="n">
        <f aca="false">E4*Portfolio_Holdings!$O$1</f>
        <v>-739.130030818047</v>
      </c>
    </row>
    <row r="5" customFormat="false" ht="15" hidden="false" customHeight="false" outlineLevel="0" collapsed="false">
      <c r="A5" s="0" t="s">
        <v>73</v>
      </c>
      <c r="B5" s="0" t="str">
        <f aca="false">Portfolio_Holdings!B5</f>
        <v>TCS</v>
      </c>
      <c r="C5" s="13" t="n">
        <f aca="false">Portfolio_Holdings!K5</f>
        <v>0.0716508009380539</v>
      </c>
      <c r="D5" s="12" t="n">
        <v>0.09</v>
      </c>
      <c r="E5" s="13" t="n">
        <f aca="false">D5-C5</f>
        <v>0.0183491990619461</v>
      </c>
      <c r="F5" s="0" t="str">
        <f aca="false">IF(E5&gt;0.005,"BUY",IF(E5&lt;-0.005,"SELL","HOLD"))</f>
        <v>BUY</v>
      </c>
      <c r="G5" s="8" t="n">
        <f aca="false">E5*Portfolio_Holdings!$O$1</f>
        <v>18349.1990619461</v>
      </c>
    </row>
    <row r="6" customFormat="false" ht="15" hidden="false" customHeight="false" outlineLevel="0" collapsed="false">
      <c r="A6" s="0" t="s">
        <v>76</v>
      </c>
      <c r="B6" s="0" t="str">
        <f aca="false">Portfolio_Holdings!B6</f>
        <v>Persistent Systems</v>
      </c>
      <c r="C6" s="13" t="n">
        <f aca="false">Portfolio_Holdings!K6</f>
        <v>0.111231310643062</v>
      </c>
      <c r="D6" s="12" t="n">
        <v>0.08</v>
      </c>
      <c r="E6" s="13" t="n">
        <f aca="false">D6-C6</f>
        <v>-0.0312313106430623</v>
      </c>
      <c r="F6" s="0" t="str">
        <f aca="false">IF(E6&gt;0.005,"BUY",IF(E6&lt;-0.005,"SELL","HOLD"))</f>
        <v>SELL</v>
      </c>
      <c r="G6" s="8" t="n">
        <f aca="false">E6*Portfolio_Holdings!$O$1</f>
        <v>-31231.3106430623</v>
      </c>
    </row>
    <row r="7" customFormat="false" ht="15" hidden="false" customHeight="false" outlineLevel="0" collapsed="false">
      <c r="A7" s="0" t="s">
        <v>79</v>
      </c>
      <c r="B7" s="0" t="str">
        <f aca="false">Portfolio_Holdings!B7</f>
        <v>HDFC Bank</v>
      </c>
      <c r="C7" s="13" t="n">
        <f aca="false">Portfolio_Holdings!K7</f>
        <v>0.103249963278372</v>
      </c>
      <c r="D7" s="12" t="n">
        <v>0.11</v>
      </c>
      <c r="E7" s="13" t="n">
        <f aca="false">D7-C7</f>
        <v>0.00675003672162805</v>
      </c>
      <c r="F7" s="0" t="str">
        <f aca="false">IF(E7&gt;0.005,"BUY",IF(E7&lt;-0.005,"SELL","HOLD"))</f>
        <v>BUY</v>
      </c>
      <c r="G7" s="8" t="n">
        <f aca="false">E7*Portfolio_Holdings!$O$1</f>
        <v>6750.03672162805</v>
      </c>
    </row>
    <row r="8" customFormat="false" ht="15" hidden="false" customHeight="false" outlineLevel="0" collapsed="false">
      <c r="A8" s="0" t="s">
        <v>83</v>
      </c>
      <c r="B8" s="0" t="str">
        <f aca="false">Portfolio_Holdings!B8</f>
        <v>Infosys</v>
      </c>
      <c r="C8" s="13" t="n">
        <f aca="false">Portfolio_Holdings!K8</f>
        <v>0.101620488353239</v>
      </c>
      <c r="D8" s="12" t="n">
        <v>0.1</v>
      </c>
      <c r="E8" s="13" t="n">
        <f aca="false">D8-C8</f>
        <v>-0.0016204883532394</v>
      </c>
      <c r="F8" s="0" t="str">
        <f aca="false">IF(E8&gt;0.005,"BUY",IF(E8&lt;-0.005,"SELL","HOLD"))</f>
        <v>HOLD</v>
      </c>
      <c r="G8" s="8" t="n">
        <f aca="false">E8*Portfolio_Holdings!$O$1</f>
        <v>-1620.4883532394</v>
      </c>
    </row>
    <row r="9" customFormat="false" ht="15" hidden="false" customHeight="false" outlineLevel="0" collapsed="false">
      <c r="A9" s="0" t="s">
        <v>86</v>
      </c>
      <c r="B9" s="0" t="str">
        <f aca="false">Portfolio_Holdings!B9</f>
        <v>ITC Ltd</v>
      </c>
      <c r="C9" s="13" t="n">
        <f aca="false">Portfolio_Holdings!K9</f>
        <v>0.0688552450701039</v>
      </c>
      <c r="D9" s="12" t="n">
        <v>0.09</v>
      </c>
      <c r="E9" s="13" t="n">
        <f aca="false">D9-C9</f>
        <v>0.0211447549298961</v>
      </c>
      <c r="F9" s="0" t="str">
        <f aca="false">IF(E9&gt;0.005,"BUY",IF(E9&lt;-0.005,"SELL","HOLD"))</f>
        <v>BUY</v>
      </c>
      <c r="G9" s="8" t="n">
        <f aca="false">E9*Portfolio_Holdings!$O$1</f>
        <v>21144.7549298961</v>
      </c>
    </row>
    <row r="10" customFormat="false" ht="15" hidden="false" customHeight="false" outlineLevel="0" collapsed="false">
      <c r="A10" s="0" t="s">
        <v>90</v>
      </c>
      <c r="B10" s="0" t="str">
        <f aca="false">Portfolio_Holdings!B10</f>
        <v>Sun Pharma</v>
      </c>
      <c r="C10" s="13" t="n">
        <f aca="false">Portfolio_Holdings!K10</f>
        <v>0.111649655428282</v>
      </c>
      <c r="D10" s="12" t="n">
        <v>0.09</v>
      </c>
      <c r="E10" s="13" t="n">
        <f aca="false">D10-C10</f>
        <v>-0.0216496554282819</v>
      </c>
      <c r="F10" s="0" t="str">
        <f aca="false">IF(E10&gt;0.005,"BUY",IF(E10&lt;-0.005,"SELL","HOLD"))</f>
        <v>SELL</v>
      </c>
      <c r="G10" s="8" t="n">
        <f aca="false">E10*Portfolio_Holdings!$O$1</f>
        <v>-21649.6554282819</v>
      </c>
    </row>
    <row r="11" customFormat="false" ht="15" hidden="false" customHeight="false" outlineLevel="0" collapsed="false">
      <c r="A11" s="0" t="s">
        <v>94</v>
      </c>
      <c r="B11" s="0" t="str">
        <f aca="false">Portfolio_Holdings!B11</f>
        <v>Nifty50 Index ETF</v>
      </c>
      <c r="C11" s="13" t="n">
        <f aca="false">Portfolio_Holdings!K11</f>
        <v>0.121965605573928</v>
      </c>
      <c r="D11" s="12" t="n">
        <v>0.13</v>
      </c>
      <c r="E11" s="13" t="n">
        <f aca="false">D11-C11</f>
        <v>0.00803439442607157</v>
      </c>
      <c r="F11" s="0" t="str">
        <f aca="false">IF(E11&gt;0.005,"BUY",IF(E11&lt;-0.005,"SELL","HOLD"))</f>
        <v>BUY</v>
      </c>
      <c r="G11" s="8" t="n">
        <f aca="false">E11*Portfolio_Holdings!$O$1</f>
        <v>8034.39442607157</v>
      </c>
    </row>
    <row r="12" customFormat="false" ht="15" hidden="false" customHeight="false" outlineLevel="0" collapsed="false">
      <c r="A12" s="0" t="s">
        <v>98</v>
      </c>
      <c r="B12" s="0" t="str">
        <f aca="false">Portfolio_Holdings!B12</f>
        <v>Gold ETF</v>
      </c>
      <c r="C12" s="13" t="n">
        <f aca="false">Portfolio_Holdings!K12</f>
        <v>0.1197149590044</v>
      </c>
      <c r="D12" s="12" t="n">
        <v>0.11</v>
      </c>
      <c r="E12" s="13" t="n">
        <f aca="false">D12-C12</f>
        <v>-0.00971495900439999</v>
      </c>
      <c r="F12" s="0" t="str">
        <f aca="false">IF(E12&gt;0.005,"BUY",IF(E12&lt;-0.005,"SELL","HOLD"))</f>
        <v>SELL</v>
      </c>
      <c r="G12" s="8" t="n">
        <f aca="false">E12*Portfolio_Holdings!$O$1</f>
        <v>-9714.95900439999</v>
      </c>
    </row>
    <row r="13" customFormat="false" ht="15" hidden="false" customHeight="false" outlineLevel="0" collapsed="false">
      <c r="A13" s="0" t="s">
        <v>101</v>
      </c>
      <c r="B13" s="0" t="str">
        <f aca="false">Portfolio_Holdings!B13</f>
        <v>Liquid/Debt Fund</v>
      </c>
      <c r="C13" s="13" t="n">
        <f aca="false">Portfolio_Holdings!K13</f>
        <v>0.0893228416797401</v>
      </c>
      <c r="D13" s="12" t="n">
        <v>0.1</v>
      </c>
      <c r="E13" s="13" t="n">
        <f aca="false">D13-C13</f>
        <v>0.0106771583202599</v>
      </c>
      <c r="F13" s="0" t="str">
        <f aca="false">IF(E13&gt;0.005,"BUY",IF(E13&lt;-0.005,"SELL","HOLD"))</f>
        <v>BUY</v>
      </c>
      <c r="G13" s="8" t="n">
        <f aca="false">E13*Portfolio_Holdings!$O$1</f>
        <v>10677.1583202599</v>
      </c>
    </row>
    <row r="14" customFormat="false" ht="15" hidden="false" customHeight="false" outlineLevel="0" collapsed="false">
      <c r="B14" s="3" t="s">
        <v>105</v>
      </c>
      <c r="D14" s="13" t="n">
        <f aca="false">SUM(D4:D13)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163</v>
      </c>
    </row>
    <row r="4" customFormat="false" ht="15" hidden="false" customHeight="false" outlineLevel="0" collapsed="false">
      <c r="A4" s="3" t="s">
        <v>57</v>
      </c>
      <c r="B4" s="8" t="n">
        <f aca="false">Portfolio_Holdings!O1</f>
        <v>1000000</v>
      </c>
    </row>
    <row r="5" customFormat="false" ht="15" hidden="false" customHeight="false" outlineLevel="0" collapsed="false">
      <c r="A5" s="3" t="s">
        <v>164</v>
      </c>
      <c r="B5" s="8" t="n">
        <f aca="false">Portfolio_Holdings!J14</f>
        <v>1265073.94833174</v>
      </c>
    </row>
    <row r="6" customFormat="false" ht="15" hidden="false" customHeight="false" outlineLevel="0" collapsed="false">
      <c r="A6" s="3" t="s">
        <v>165</v>
      </c>
      <c r="B6" s="8" t="n">
        <f aca="false">B5-B4</f>
        <v>265073.948331743</v>
      </c>
    </row>
    <row r="7" customFormat="false" ht="15" hidden="false" customHeight="false" outlineLevel="0" collapsed="false">
      <c r="A7" s="3" t="s">
        <v>166</v>
      </c>
      <c r="B7" s="13" t="n">
        <f aca="false">B5/B4-1</f>
        <v>0.265073948331743</v>
      </c>
    </row>
    <row r="8" customFormat="false" ht="15" hidden="false" customHeight="false" outlineLevel="0" collapsed="false">
      <c r="A8" s="3" t="s">
        <v>120</v>
      </c>
      <c r="B8" s="13" t="n">
        <f aca="false">Risk_Analysis!F17</f>
        <v>0.142987616643286</v>
      </c>
    </row>
    <row r="9" customFormat="false" ht="15" hidden="false" customHeight="false" outlineLevel="0" collapsed="false">
      <c r="A9" s="3" t="s">
        <v>167</v>
      </c>
      <c r="B9" s="13" t="n">
        <f aca="false">Risk_Analysis!D17</f>
        <v>0.0684545951180481</v>
      </c>
    </row>
    <row r="10" customFormat="false" ht="15" hidden="false" customHeight="false" outlineLevel="0" collapsed="false">
      <c r="A10" s="3" t="s">
        <v>168</v>
      </c>
      <c r="B10" s="18" t="n">
        <f aca="false">Risk_Analysis!E17</f>
        <v>-0.0709778309237241</v>
      </c>
    </row>
    <row r="11" customFormat="false" ht="15" hidden="false" customHeight="false" outlineLevel="0" collapsed="false">
      <c r="A11" s="3" t="s">
        <v>121</v>
      </c>
      <c r="B11" s="18" t="n">
        <f aca="false">Risk_Analysis!G17</f>
        <v>1.06621938990977</v>
      </c>
    </row>
    <row r="12" customFormat="false" ht="15" hidden="false" customHeight="false" outlineLevel="0" collapsed="false">
      <c r="A12" s="3" t="s">
        <v>169</v>
      </c>
      <c r="B12" s="13" t="n">
        <f aca="false">Risk_Analysis!I17</f>
        <v>-0.0493027373606048</v>
      </c>
    </row>
    <row r="13" customFormat="false" ht="15" hidden="false" customHeight="false" outlineLevel="0" collapsed="false">
      <c r="A13" s="3" t="s">
        <v>124</v>
      </c>
      <c r="B13" s="8" t="n">
        <f aca="false">Risk_Analysis!J17</f>
        <v>41123.8529733412</v>
      </c>
    </row>
    <row r="14" customFormat="false" ht="15" hidden="false" customHeight="false" outlineLevel="0" collapsed="false">
      <c r="A14" s="3" t="s">
        <v>170</v>
      </c>
      <c r="B14" s="13" t="n">
        <f aca="false">Returns!M30</f>
        <v>0.0540886140561372</v>
      </c>
    </row>
    <row r="15" customFormat="false" ht="15" hidden="false" customHeight="false" outlineLevel="0" collapsed="false">
      <c r="A15" s="3" t="s">
        <v>171</v>
      </c>
      <c r="B15" s="13" t="n">
        <f aca="false">B8-B14</f>
        <v>0.0888990025871483</v>
      </c>
    </row>
    <row r="16" customFormat="false" ht="15" hidden="false" customHeight="false" outlineLevel="0" collapsed="false">
      <c r="A16" s="3" t="s">
        <v>172</v>
      </c>
      <c r="B16" s="13" t="n">
        <f aca="false">1-Portfolio_Holdings!K12-Portfolio_Holdings!K13</f>
        <v>0.79096219931586</v>
      </c>
    </row>
    <row r="17" customFormat="false" ht="15" hidden="false" customHeight="false" outlineLevel="0" collapsed="false">
      <c r="A17" s="3" t="s">
        <v>173</v>
      </c>
      <c r="B17" s="13" t="n">
        <f aca="false">MAX(Portfolio_Holdings!K4:K13)</f>
        <v>0.121965605573928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22.05" hidden="false" customHeight="false" outlineLevel="0" collapsed="false">
      <c r="A1" s="23" t="s">
        <v>174</v>
      </c>
      <c r="B1" s="23"/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A2" s="21" t="s">
        <v>175</v>
      </c>
      <c r="B2" s="21"/>
      <c r="C2" s="21"/>
      <c r="D2" s="21"/>
      <c r="E2" s="21"/>
      <c r="F2" s="21"/>
      <c r="G2" s="21"/>
      <c r="H2" s="21"/>
    </row>
    <row r="4" customFormat="false" ht="15" hidden="false" customHeight="false" outlineLevel="0" collapsed="false">
      <c r="A4" s="24" t="s">
        <v>176</v>
      </c>
      <c r="B4" s="24"/>
      <c r="C4" s="24" t="s">
        <v>166</v>
      </c>
      <c r="D4" s="24"/>
      <c r="E4" s="24" t="s">
        <v>120</v>
      </c>
      <c r="F4" s="24"/>
      <c r="G4" s="24" t="s">
        <v>177</v>
      </c>
      <c r="H4" s="24"/>
      <c r="I4" s="24" t="s">
        <v>121</v>
      </c>
      <c r="J4" s="24"/>
      <c r="K4" s="24" t="s">
        <v>178</v>
      </c>
      <c r="L4" s="24"/>
    </row>
    <row r="5" customFormat="false" ht="17.35" hidden="false" customHeight="false" outlineLevel="0" collapsed="false">
      <c r="A5" s="25" t="n">
        <f aca="false">KPI_Summary!B5</f>
        <v>1265073.94833174</v>
      </c>
      <c r="B5" s="25"/>
      <c r="C5" s="26" t="n">
        <f aca="false">KPI_Summary!B7</f>
        <v>0.265073948331743</v>
      </c>
      <c r="D5" s="26"/>
      <c r="E5" s="26" t="n">
        <f aca="false">KPI_Summary!B8</f>
        <v>0.142987616643286</v>
      </c>
      <c r="F5" s="26"/>
      <c r="G5" s="26" t="n">
        <f aca="false">KPI_Summary!B9</f>
        <v>0.0684545951180481</v>
      </c>
      <c r="H5" s="26"/>
      <c r="I5" s="27" t="n">
        <f aca="false">KPI_Summary!B11</f>
        <v>1.06621938990977</v>
      </c>
      <c r="J5" s="27"/>
      <c r="K5" s="26" t="n">
        <f aca="false">KPI_Summary!B12</f>
        <v>-0.0493027373606048</v>
      </c>
      <c r="L5" s="26"/>
    </row>
  </sheetData>
  <mergeCells count="14">
    <mergeCell ref="A1:H1"/>
    <mergeCell ref="A2:H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2026-08-21T10:08:20Z</dcterms:created>
  <dc:creator>openpyxl</dc:creator>
  <dc:description/>
  <dc:language>en-US</dc:language>
  <cp:lastModifiedBy/>
  <dcterms:modified xsi:type="dcterms:W3CDTF">2026-08-21T10:08:22Z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